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9609e8e95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Comparison" sheetId="1" r:id="R5807f741389e4c94"/>
    <x:sheet xmlns:r="http://schemas.openxmlformats.org/officeDocument/2006/relationships" name="Detailed Specs" sheetId="2" r:id="R29f542d85cad4083"/>
    <x:sheet xmlns:r="http://schemas.openxmlformats.org/officeDocument/2006/relationships" name="Feature Comparison" sheetId="3" r:id="Rbb62bc8bb0ce4860"/>
    <x:sheet xmlns:r="http://schemas.openxmlformats.org/officeDocument/2006/relationships" name="Ownership Calculator" sheetId="4" r:id="R99dd119533ab4bf4"/>
    <x:sheet xmlns:r="http://schemas.openxmlformats.org/officeDocument/2006/relationships" name="Buying Verdict" sheetId="5" r:id="Rd485f572e7c64735"/>
    <x:sheet xmlns:r="http://schemas.openxmlformats.org/officeDocument/2006/relationships" name="Buying Verdict1" sheetId="6" r:id="Re6d6e8d2d6b74075"/>
    <x:sheet xmlns:r="http://schemas.openxmlformats.org/officeDocument/2006/relationships" name="Sources &amp; Notes" sheetId="7" r:id="Rfda4de12af5448e2"/>
  </x:sheets>
</x:workbook>
</file>

<file path=xl/sharedStrings.xml><?xml version="1.0" encoding="utf-8"?>
<x:sst xmlns:x="http://schemas.openxmlformats.org/spreadsheetml/2006/main">
  <x:si>
    <x:t xml:space="preserve">Car</x:t>
  </x:si>
  <x:si>
    <x:t xml:space="preserve">Delhi on-road (₹)</x:t>
  </x:si>
  <x:si>
    <x:t xml:space="preserve">Deal note</x:t>
  </x:si>
  <x:si>
    <x:t xml:space="preserve">Engine</x:t>
  </x:si>
  <x:si>
    <x:t xml:space="preserve">Power</x:t>
  </x:si>
  <x:si>
    <x:t xml:space="preserve">Torque (Nm)</x:t>
  </x:si>
  <x:si>
    <x:t xml:space="preserve">Gearbox</x:t>
  </x:si>
  <x:si>
    <x:t xml:space="preserve">ARAI kmpl</x:t>
  </x:si>
  <x:si>
    <x:t xml:space="preserve">Tested kmpl</x:t>
  </x:si>
  <x:si>
    <x:t xml:space="preserve">Boot (L)</x:t>
  </x:si>
  <x:si>
    <x:t xml:space="preserve">GC (mm)</x:t>
  </x:si>
  <x:si>
    <x:t xml:space="preserve">Safety rating</x:t>
  </x:si>
  <x:si>
    <x:t xml:space="preserve">Safety score</x:t>
  </x:si>
  <x:si>
    <x:t xml:space="preserve">Mileage score</x:t>
  </x:si>
  <x:si>
    <x:t xml:space="preserve">Performance score</x:t>
  </x:si>
  <x:si>
    <x:t xml:space="preserve">Features</x:t>
  </x:si>
  <x:si>
    <x:t xml:space="preserve">Best For</x:t>
  </x:si>
  <x:si>
    <x:t xml:space="preserve">Maruti Suzuki Baleno Zeta MT</x:t>
  </x:si>
  <x:si>
    <x:t xml:space="preserve">~₹9.3L listed; dealer discount may reduce this</x:t>
  </x:si>
  <x:si>
    <x:t xml:space="preserve">1.2L NA petrol, 1197cc, 4-cyl</x:t>
  </x:si>
  <x:si>
    <x:t xml:space="preserve">5MT</x:t>
  </x:si>
  <x:si>
    <x:t xml:space="preserve">4★ Bharat NCAP*</x:t>
  </x:si>
  <x:si>
    <x:t xml:space="preserve">6 airbags, ESC, auto climate, rear AC vents, touchscreen, rear camera, push-button start, alloys</x:t>
  </x:si>
  <x:si>
    <x:t xml:space="preserve">Best for city efficiency and easy ownership</x:t>
  </x:si>
  <x:si>
    <x:t xml:space="preserve">Maruti Suzuki Fronx Delta+ 1.0 Turbo MT</x:t>
  </x:si>
  <x:si>
    <x:t xml:space="preserve">~₹10L target with dealer discount</x:t>
  </x:si>
  <x:si>
    <x:t xml:space="preserve">1.0L Turbo Boosterjet, 998cc, 3-cyl</x:t>
  </x:si>
  <x:si>
    <x:t xml:space="preserve">No India BNCAP rating</x:t>
  </x:si>
  <x:si>
    <x:t xml:space="preserve">6 airbags, ESC, LED headlamps, 7-inch touchscreen, wireless Android Auto/Apple CarPlay, alloys</x:t>
  </x:si>
  <x:si>
    <x:t xml:space="preserve">Best for a punchier crossover with strong efficiency</x:t>
  </x:si>
  <x:si>
    <x:t xml:space="preserve">Škoda Kylaq Signature Turbo MT</x:t>
  </x:si>
  <x:si>
    <x:t xml:space="preserve">₹10.56L; target ≤₹10L after discount</x:t>
  </x:si>
  <x:si>
    <x:t xml:space="preserve">1.0 TSI turbo petrol, 999cc, 3-cyl</x:t>
  </x:si>
  <x:si>
    <x:t xml:space="preserve">6MT</x:t>
  </x:si>
  <x:si>
    <x:t xml:space="preserve">5★ Bharat NCAP</x:t>
  </x:si>
  <x:si>
    <x:t xml:space="preserve">6 airbags, ESC, TPMS, rain-sensing wipers, electric sunroof, cruise control, auto climate, rear AC vents, air purifier, alloys</x:t>
  </x:si>
  <x:si>
    <x:t xml:space="preserve">Best for an enthusiast willing to negotiate/stretch</x:t>
  </x:si>
  <x:si>
    <x:t xml:space="preserve">Hyundai Venue HX2 1.0 Turbo MT</x:t>
  </x:si>
  <x:si>
    <x:t xml:space="preserve">1.0L Kappa Turbo GDi, 998cc, 3-cyl</x:t>
  </x:si>
  <x:si>
    <x:t xml:space="preserve">6 airbags, ESC, 10.25-inch touchscreen, digital cluster, keyless entry, rear AC vents, rear parking sensors</x:t>
  </x:si>
  <x:si>
    <x:t xml:space="preserve">Best safety-first turbo option with Hyundai ownership</x:t>
  </x:si>
  <x:si>
    <x:t xml:space="preserve">Tata Altroz Creative MT</x:t>
  </x:si>
  <x:si>
    <x:t xml:space="preserve">~₹9.3L listed; check dealer offers</x:t>
  </x:si>
  <x:si>
    <x:t xml:space="preserve">1.2L NA petrol, 1199cc, 3-cyl</x:t>
  </x:si>
  <x:si>
    <x:t xml:space="preserve">6 airbags, ESP, rear camera, auto climate, touchscreen, wireless Android Auto/Apple CarPlay, cruise control, rear AC vents</x:t>
  </x:si>
  <x:si>
    <x:t xml:space="preserve">Best hatchback alternative with strong safety</x:t>
  </x:si>
  <x:si>
    <x:t xml:space="preserve">Rating note: Safety = official crash-test rating where available. Mileage and Performance scores are editorial ratings, not manufacturer scores.</x:t>
  </x:si>
  <x:si>
    <x:t xml:space="preserve">Specification</x:t>
  </x:si>
  <x:si>
    <x:t xml:space="preserve">Fuel</x:t>
  </x:si>
  <x:si>
    <x:t xml:space="preserve">Petrol</x:t>
  </x:si>
  <x:si>
    <x:t xml:space="preserve">Body type</x:t>
  </x:si>
  <x:si>
    <x:t xml:space="preserve">Hatchback</x:t>
  </x:si>
  <x:si>
    <x:t xml:space="preserve">Crossover SUV</x:t>
  </x:si>
  <x:si>
    <x:t xml:space="preserve">Sub-4m SUV</x:t>
  </x:si>
  <x:si>
    <x:t xml:space="preserve">1.2L NA</x:t>
  </x:si>
  <x:si>
    <x:t xml:space="preserve">1.0L Turbo</x:t>
  </x:si>
  <x:si>
    <x:t xml:space="preserve">1.0 TSI Turbo</x:t>
  </x:si>
  <x:si>
    <x:t xml:space="preserve">1.0L Turbo GDi</x:t>
  </x:si>
  <x:si>
    <x:t xml:space="preserve">Displacement (cc)</x:t>
  </x:si>
  <x:si>
    <x:t xml:space="preserve">Cylinders</x:t>
  </x:si>
  <x:si>
    <x:t xml:space="preserve">Transmission</x:t>
  </x:si>
  <x:si>
    <x:t xml:space="preserve">ARAI mileage (kmpl)</x:t>
  </x:si>
  <x:si>
    <x:t xml:space="preserve">Autocar tested mileage (kmpl)</x:t>
  </x:si>
  <x:si>
    <x:t xml:space="preserve">Not found</x:t>
  </x:si>
  <x:si>
    <x:t xml:space="preserve">Boot space (L)</x:t>
  </x:si>
  <x:si>
    <x:t xml:space="preserve">Fuel tank (L)</x:t>
  </x:si>
  <x:si>
    <x:t xml:space="preserve">Ground clearance (mm)</x:t>
  </x:si>
  <x:si>
    <x:t xml:space="preserve">Length (mm)</x:t>
  </x:si>
  <x:si>
    <x:t xml:space="preserve">~3995</x:t>
  </x:si>
  <x:si>
    <x:t xml:space="preserve">Width (mm)</x:t>
  </x:si>
  <x:si>
    <x:t xml:space="preserve">~1765</x:t>
  </x:si>
  <x:si>
    <x:t xml:space="preserve">Wheelbase (mm)</x:t>
  </x:si>
  <x:si>
    <x:t xml:space="preserve">~2520</x:t>
  </x:si>
  <x:si>
    <x:t xml:space="preserve">Airbags</x:t>
  </x:si>
  <x:si>
    <x:t xml:space="preserve">Bharat NCAP</x:t>
  </x:si>
  <x:si>
    <x:t xml:space="preserve">4★*</x:t>
  </x:si>
  <x:si>
    <x:t xml:space="preserve">Not tested</x:t>
  </x:si>
  <x:si>
    <x:t xml:space="preserve">5★</x:t>
  </x:si>
  <x:si>
    <x:t xml:space="preserve">ADAS</x:t>
  </x:si>
  <x:si>
    <x:t xml:space="preserve">No</x:t>
  </x:si>
  <x:si>
    <x:t xml:space="preserve">Higher Venue variants</x:t>
  </x:si>
  <x:si>
    <x:t xml:space="preserve">Sunroof</x:t>
  </x:si>
  <x:si>
    <x:t xml:space="preserve">Yes</x:t>
  </x:si>
  <x:si>
    <x:t xml:space="preserve">No on HX2</x:t>
  </x:si>
  <x:si>
    <x:t xml:space="preserve">Higher Altroz variants</x:t>
  </x:si>
  <x:si>
    <x:t xml:space="preserve">Cruise control</x:t>
  </x:si>
  <x:si>
    <x:t xml:space="preserve">Variant-dependent</x:t>
  </x:si>
  <x:si>
    <x:t xml:space="preserve">Rear AC vents</x:t>
  </x:si>
  <x:si>
    <x:t xml:space="preserve">Feature</x:t>
  </x:si>
  <x:si>
    <x:t xml:space="preserve">6 airbags</x:t>
  </x:si>
  <x:si>
    <x:t xml:space="preserve">ESC / ESP</x:t>
  </x:si>
  <x:si>
    <x:t xml:space="preserve">Factory rear camera</x:t>
  </x:si>
  <x:si>
    <x:t xml:space="preserve">TPMS</x:t>
  </x:si>
  <x:si>
    <x:t xml:space="preserve">Yes/variant</x:t>
  </x:si>
  <x:si>
    <x:t xml:space="preserve">No (HX2)</x:t>
  </x:si>
  <x:si>
    <x:t xml:space="preserve">Higher variants</x:t>
  </x:si>
  <x:si>
    <x:t xml:space="preserve">Auto climate</x:t>
  </x:si>
  <x:si>
    <x:t xml:space="preserve">Wireless Android Auto/Apple CarPlay</x:t>
  </x:si>
  <x:si>
    <x:t xml:space="preserve">Wired on Signature</x:t>
  </x:si>
  <x:si>
    <x:t xml:space="preserve">LED headlamps</x:t>
  </x:si>
  <x:si>
    <x:t xml:space="preserve">Alloy wheels</x:t>
  </x:si>
  <x:si>
    <x:t xml:space="preserve">Air purifier</x:t>
  </x:si>
  <x:si>
    <x:t xml:space="preserve">5-YEAR FUEL COST CALCULATOR</x:t>
  </x:si>
  <x:si>
    <x:t xml:space="preserve">Annual kilometres</x:t>
  </x:si>
  <x:si>
    <x:t xml:space="preserve">Petrol price (₹/L)</x:t>
  </x:si>
  <x:si>
    <x:t xml:space="preserve">Ownership period (years)</x:t>
  </x:si>
  <x:si>
    <x:t xml:space="preserve">Fallback real-world mileage (kmpl)</x:t>
  </x:si>
  <x:si>
    <x:t xml:space="preserve">Price (₹)</x:t>
  </x:si>
  <x:si>
    <x:t xml:space="preserve">Mileage used</x:t>
  </x:si>
  <x:si>
    <x:t xml:space="preserve">Annual fuel cost (₹)</x:t>
  </x:si>
  <x:si>
    <x:t xml:space="preserve">5-year fuel cost (₹)</x:t>
  </x:si>
  <x:si>
    <x:t xml:space="preserve">5-year price + fuel (₹)</x:t>
  </x:si>
  <x:si>
    <x:t xml:space="preserve">Fuel cost premium vs cheapest</x:t>
  </x:si>
  <x:si>
    <x:t xml:space="preserve">Method</x:t>
  </x:si>
  <x:si>
    <x:t xml:space="preserve">Autocar tested</x:t>
  </x:si>
  <x:si>
    <x:t xml:space="preserve">Fallback assumption</x:t>
  </x:si>
  <x:si>
    <x:t xml:space="preserve">Illustrative only. Fuel cost excludes insurance, financing, depreciation, tyres, repairs and resale. Actual mileage varies by traffic, driving style and AC use.</x:t>
  </x:si>
  <x:si>
    <x:t xml:space="preserve">What it does best</x:t>
  </x:si>
  <x:si>
    <x:t xml:space="preserve">Who should buy it</x:t>
  </x:si>
  <x:si>
    <x:t xml:space="preserve">Biggest compromise</x:t>
  </x:si>
  <x:si>
    <x:t xml:space="preserve">Editorial verdict</x:t>
  </x:si>
  <x:si>
    <x:t xml:space="preserve">Mileage + easy ownership</x:t>
  </x:si>
  <x:si>
    <x:t xml:space="preserve">City-heavy buyer</x:t>
  </x:si>
  <x:si>
    <x:t xml:space="preserve">NA engine is least punchy</x:t>
  </x:si>
  <x:si>
    <x:t xml:space="preserve">Best sensible choice</x:t>
  </x:si>
  <x:si>
    <x:t xml:space="preserve">Turbo + efficiency</x:t>
  </x:si>
  <x:si>
    <x:t xml:space="preserve">Buyer wanting a punchier crossover</x:t>
  </x:si>
  <x:si>
    <x:t xml:space="preserve">Best balanced turbo</x:t>
  </x:si>
  <x:si>
    <x:t xml:space="preserve">Driving dynamics + safety</x:t>
  </x:si>
  <x:si>
    <x:t xml:space="preserve">Enthusiast willing to negotiate</x:t>
  </x:si>
  <x:si>
    <x:t xml:space="preserve">Real-world city efficiency</x:t>
  </x:si>
  <x:si>
    <x:t xml:space="preserve">My pick if ≤₹10L deal</x:t>
  </x:si>
  <x:si>
    <x:t xml:space="preserve">Safety + turbo + Hyundai ecosystem</x:t>
  </x:si>
  <x:si>
    <x:t xml:space="preserve">Family buyer prioritising safety</x:t>
  </x:si>
  <x:si>
    <x:t xml:space="preserve">HX2 is relatively basic on features</x:t>
  </x:si>
  <x:si>
    <x:t xml:space="preserve">Strong safety-first alternative</x:t>
  </x:si>
  <x:si>
    <x:t xml:space="preserve">Safety + premium hatchback</x:t>
  </x:si>
  <x:si>
    <x:t xml:space="preserve">Buyer who prefers a hatchback</x:t>
  </x:si>
  <x:si>
    <x:t xml:space="preserve">NA petrol performance</x:t>
  </x:si>
  <x:si>
    <x:t xml:space="preserve">Best hatchback alternative</x:t>
  </x:si>
  <x:si>
    <x:t xml:space="preserve">Source</x:t>
  </x:si>
  <x:si>
    <x:t xml:space="preserve">URL / reference</x:t>
  </x:si>
  <x:si>
    <x:t xml:space="preserve">Used for</x:t>
  </x:si>
  <x:si>
    <x:t xml:space="preserve">CarDekho — Baleno Zeta</x:t>
  </x:si>
  <x:si>
    <x:t xml:space="preserve">https://www.cardekho.com/overview/Maruti_Baleno/Maruti_Baleno_Zeta.htm</x:t>
  </x:si>
  <x:si>
    <x:t xml:space="preserve">Price, engine, mileage, boot, features</x:t>
  </x:si>
  <x:si>
    <x:t xml:space="preserve">Autocar — Baleno mileage</x:t>
  </x:si>
  <x:si>
    <x:t xml:space="preserve">https://www.autocarindia.com/cars/maruti-suzuki/baleno/mileage</x:t>
  </x:si>
  <x:si>
    <x:t xml:space="preserve">ARAI/tested mileage</x:t>
  </x:si>
  <x:si>
    <x:t xml:space="preserve">Bharat NCAP — Baleno</x:t>
  </x:si>
  <x:si>
    <x:t xml:space="preserve">https://www.bncap.in/vehicle/maruti-baleno-gasoline-6-airbags/</x:t>
  </x:si>
  <x:si>
    <x:t xml:space="preserve">Safety rating/applicability</x:t>
  </x:si>
  <x:si>
    <x:t xml:space="preserve">CarDekho — Fronx Delta+ Turbo</x:t>
  </x:si>
  <x:si>
    <x:t xml:space="preserve">https://www.cardekho.com/overview/Maruti_FRONX/Maruti_FRONX_Delta_Plus_Turbo.htm</x:t>
  </x:si>
  <x:si>
    <x:t xml:space="preserve">Price, engine, safety equipment, features</x:t>
  </x:si>
  <x:si>
    <x:t xml:space="preserve">Autocar — Fronx mileage</x:t>
  </x:si>
  <x:si>
    <x:t xml:space="preserve">https://www.autocarindia.com/cars/maruti-suzuki/fronx/mileage</x:t>
  </x:si>
  <x:si>
    <x:t xml:space="preserve">CarDekho — Kylaq Signature</x:t>
  </x:si>
  <x:si>
    <x:t xml:space="preserve">https://www.cardekho.com/overview/Skoda_Kylaq/Skoda_Kylaq_Signature.htm</x:t>
  </x:si>
  <x:si>
    <x:t xml:space="preserve">Price, engine, mileage, features</x:t>
  </x:si>
  <x:si>
    <x:t xml:space="preserve">Autocar — Kylaq mileage/specs</x:t>
  </x:si>
  <x:si>
    <x:t xml:space="preserve">https://www.autocarindia.com/cars/skoda/kylaq/mileage</x:t>
  </x:si>
  <x:si>
    <x:t xml:space="preserve">Autocar — Kylaq specifications</x:t>
  </x:si>
  <x:si>
    <x:t xml:space="preserve">https://www.autocarindia.com/cars/skoda/kylaq/specifications</x:t>
  </x:si>
  <x:si>
    <x:t xml:space="preserve">Safety/dimensions</x:t>
  </x:si>
  <x:si>
    <x:t xml:space="preserve">User-provided Kylaq screenshot</x:t>
  </x:si>
  <x:si>
    <x:t xml:space="preserve">Conversation attachment</x:t>
  </x:si>
  <x:si>
    <x:t xml:space="preserve">₹10.56L Delhi on-road price shown</x:t>
  </x:si>
  <x:si>
    <x:t xml:space="preserve">Hyundai India — Venue features</x:t>
  </x:si>
  <x:si>
    <x:t xml:space="preserve">https://www.hyundai.com/in/en/find-a-car/venue/features</x:t>
  </x:si>
  <x:si>
    <x:t xml:space="preserve">Current variant/feature availability</x:t>
  </x:si>
  <x:si>
    <x:t xml:space="preserve">CarDekho — Venue HX2 Turbo</x:t>
  </x:si>
  <x:si>
    <x:t xml:space="preserve">https://www.cardekho.com/overview/Hyundai_Venue/Hyundai_Venue_HX_2_Turbo.htm</x:t>
  </x:si>
  <x:si>
    <x:t xml:space="preserve">Price, engine, mileage</x:t>
  </x:si>
  <x:si>
    <x:t xml:space="preserve">Autocar — Venue HX2 Turbo</x:t>
  </x:si>
  <x:si>
    <x:t xml:space="preserve">https://www.autocarindia.com/cars/hyundai/venue/hx2-10-turbo-petrol-mt</x:t>
  </x:si>
  <x:si>
    <x:t xml:space="preserve">Tested mileage/dimensions</x:t>
  </x:si>
  <x:si>
    <x:t xml:space="preserve">Hyundai India — Venue BNCAP</x:t>
  </x:si>
  <x:si>
    <x:t xml:space="preserve">https://www.hyundai.com/in/en/hyundai-story/media-center/press-release/venue-venue-n-line-achieve-5star-safety-rating-at-bharatncap</x:t>
  </x:si>
  <x:si>
    <x:t xml:space="preserve">5-star BNCAP</x:t>
  </x:si>
  <x:si>
    <x:t xml:space="preserve">CarDekho — Altroz Creative</x:t>
  </x:si>
  <x:si>
    <x:t xml:space="preserve">https://www.cardekho.com/overview/Tata_Altroz/Tata_Altroz_Creative.htm</x:t>
  </x:si>
  <x:si>
    <x:t xml:space="preserve">Price, engine, features</x:t>
  </x:si>
  <x:si>
    <x:t xml:space="preserve">Autocar — Altroz mileage</x:t>
  </x:si>
  <x:si>
    <x:t xml:space="preserve">https://www.autocarindia.com/cars/tata/altroz/mileage</x:t>
  </x:si>
  <x:si>
    <x:t xml:space="preserve">ARAI mileage</x:t>
  </x:si>
  <x:si>
    <x:t xml:space="preserve">Bharat NCAP — Altroz</x:t>
  </x:si>
  <x:si>
    <x:t xml:space="preserve">https://www.bncap.in/vehicle/tata-altroz/</x:t>
  </x:si>
</x:sst>
</file>

<file path=xl/styles.xml><?xml version="1.0" encoding="utf-8"?>
<x:styleSheet xmlns:x="http://schemas.openxmlformats.org/spreadsheetml/2006/main">
  <x:numFmts count="1">
    <x:numFmt numFmtId="164" formatCode="\₹#,##0"/>
  </x:numFmts>
  <x:fonts count="5">
    <x:font>
      <x:sz val="11"/>
      <x:color theme="1"/>
      <x:name val="Calibri"/>
    </x:font>
    <x:font>
      <x:b/>
      <x:sz val="18"/>
      <x:color rgb="FFFFFFFF"/>
      <x:name val="Calibri"/>
    </x:font>
    <x:font>
      <x:i/>
      <x:sz val="11"/>
      <x:color rgb="FF5A6772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F5F"/>
      </x:patternFill>
    </x:fill>
    <x:fill>
      <x:patternFill patternType="solid">
        <x:fgColor rgb="FFDFF2E1"/>
      </x:patternFill>
    </x:fill>
    <x:fill>
      <x:patternFill patternType="solid">
        <x:fgColor rgb="FFFDE2E2"/>
      </x:patternFill>
    </x:fill>
    <x:fill>
      <x:patternFill patternType="solid">
        <x:fgColor rgb="FFFFF1CC"/>
      </x:patternFill>
    </x:fill>
  </x:fills>
  <x:borders count="2">
    <x:border/>
    <x:border>
      <x:bottom style="thin">
        <x:color rgb="FFD6DCE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3" fillId="3" borderId="0" xfId="0" applyFont="1" applyFill="1" applyAlignment="1">
      <x:alignment horizontal="center" wrapText="1"/>
    </x:xf>
    <x:xf numFmtId="0" fontId="0" fillId="0" borderId="1" xfId="0" applyBorder="1" applyAlignment="1">
      <x:alignment vertical="top" wrapText="1"/>
    </x:xf>
    <x:xf numFmtId="164" fontId="0" fillId="0" borderId="1" xfId="0" applyNumberFormat="1" applyBorder="1" applyAlignment="1">
      <x:alignment vertical="top" wrapText="1"/>
    </x:xf>
    <x:xf numFmtId="0" fontId="3" fillId="2" borderId="0" xfId="0" applyFont="1" applyFill="1" applyAlignment="1">
      <x:alignment wrapText="1"/>
    </x:xf>
    <x:xf numFmtId="0" fontId="0" fillId="0" borderId="0" xfId="0" applyAlignment="1">
      <x:alignment vertical="top" wrapText="1"/>
    </x:xf>
    <x:xf numFmtId="0" fontId="3" fillId="3" borderId="0" xfId="0" applyFont="1" applyFill="1" applyAlignment="1">
      <x:alignment wrapText="1"/>
    </x:xf>
    <x:xf numFmtId="0" fontId="0" fillId="4" borderId="0" xfId="0" applyFill="1" applyAlignment="1">
      <x:alignment vertical="top" wrapText="1"/>
    </x:xf>
    <x:xf numFmtId="0" fontId="0" fillId="5" borderId="0" xfId="0" applyFill="1" applyAlignment="1">
      <x:alignment vertical="top" wrapText="1"/>
    </x:xf>
    <x:xf numFmtId="0" fontId="4" fillId="0" borderId="0" xfId="0" applyFont="1"/>
    <x:xf numFmtId="0" fontId="0" fillId="6" borderId="0" xfId="0" applyFill="1"/>
    <x:xf numFmtId="164" fontId="0" fillId="0" borderId="0" xfId="0" applyNumberFormat="1" applyAlignment="1">
      <x:alignment vertical="top" wrapText="1"/>
    </x:xf>
    <x:xf numFmtId="0" fontId="3" fillId="2" borderId="0" xfId="0" applyFont="1" applyFill="1"/>
    <x:xf numFmtId="0" fontId="3" fillId="2" borderId="1" xfId="0" applyFont="1" applyFill="1" applyBorder="1" applyAlignment="1">
      <x:alignment vertical="top" wrapText="1"/>
    </x:xf>
    <x:xf numFmtId="0" fontId="2" fillId="0" borderId="0" xfId="0" applyFont="1"/>
    <x:xf numFmtId="0" fontId="0" fillId="0" borderId="0" xfId="0"/>
    <x:xf numFmtId="0" fontId="2" fillId="0" borderId="0" xfId="0" applyFont="1" applyAlignment="1">
      <x:alignment wrapText="1"/>
    </x:xf>
    <x:xf numFmtId="0" fontId="1" fillId="2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58ede59424a0b" /><Relationship Type="http://schemas.openxmlformats.org/officeDocument/2006/relationships/theme" Target="/xl/theme/theme1.xml" Id="Rad6c00a18496436b" /><Relationship Type="http://schemas.openxmlformats.org/officeDocument/2006/relationships/sharedStrings" Target="/xl/sharedStrings.xml" Id="Rf25ef7281ca549ae" /><Relationship Type="http://schemas.openxmlformats.org/officeDocument/2006/relationships/worksheet" Target="/xl/worksheets/sheet1.xml" Id="R5807f741389e4c94" /><Relationship Type="http://schemas.openxmlformats.org/officeDocument/2006/relationships/worksheet" Target="/xl/worksheets/sheet2.xml" Id="R29f542d85cad4083" /><Relationship Type="http://schemas.openxmlformats.org/officeDocument/2006/relationships/worksheet" Target="/xl/worksheets/sheet3.xml" Id="Rbb62bc8bb0ce4860" /><Relationship Type="http://schemas.openxmlformats.org/officeDocument/2006/relationships/worksheet" Target="/xl/worksheets/sheet4.xml" Id="R99dd119533ab4bf4" /><Relationship Type="http://schemas.openxmlformats.org/officeDocument/2006/relationships/worksheet" Target="/xl/worksheets/sheet5.xml" Id="Rd485f572e7c64735" /><Relationship Type="http://schemas.openxmlformats.org/officeDocument/2006/relationships/worksheet" Target="/xl/worksheets/sheet6.xml" Id="Re6d6e8d2d6b74075" /><Relationship Type="http://schemas.openxmlformats.org/officeDocument/2006/relationships/worksheet" Target="/xl/worksheets/sheet7.xml" Id="Rfda4de12af5448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de2b9c56434a81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5-Year Fuel Cost</a:t>
            </a:r>
          </a:p>
        </c:rich>
      </c:tx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strRef>
              <c:f>'Ownership Calculator'!$E$9</c:f>
              <c:strCache>
                <c:ptCount val="1"/>
                <c:pt idx="0">
                  <c:v>5-year fuel cost (₹)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'Ownership Calculator'!$A$10:$A$14</c:f>
              <c:strCache>
                <c:ptCount val="5"/>
                <c:pt idx="0">
                  <c:v>Maruti Suzuki Baleno Zeta MT</c:v>
                </c:pt>
                <c:pt idx="1">
                  <c:v>Maruti Suzuki Fronx Delta+ 1.0 Turbo MT</c:v>
                </c:pt>
                <c:pt idx="2">
                  <c:v>Škoda Kylaq Signature Turbo MT</c:v>
                </c:pt>
                <c:pt idx="3">
                  <c:v>Hyundai Venue HX2 1.0 Turbo MT</c:v>
                </c:pt>
                <c:pt idx="4">
                  <c:v>Tata Altroz Creative MT</c:v>
                </c:pt>
              </c:strCache>
            </c:strRef>
          </c:cat>
          <c:val>
            <c:numRef>
              <c:f>'Ownership Calculator'!$E$10:$E$14</c:f>
              <c:numCache>
                <c:formatCode>\₹#,##0</c:formatCode>
                <c:ptCount val="5"/>
                <c:pt idx="0">
                  <c:v>263838.59286083805</c:v>
                </c:pt>
                <c:pt idx="1">
                  <c:v>304477.6119402985</c:v>
                </c:pt>
                <c:pt idx="2">
                  <c:v>396578.53810264386</c:v>
                </c:pt>
                <c:pt idx="3">
                  <c:v>398437.5</c:v>
                </c:pt>
                <c:pt idx="4">
                  <c:v>318750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₹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100"/>
        <c:crosses val="autoZero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</a:t>
                </a:r>
              </a:p>
            </c:rich>
          </c:tx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540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de2b9c56434a8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544c2e301f0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1" customWidth="1"/>
    <x:col min="2" max="2" width="17" customWidth="1"/>
    <x:col min="3" max="3" width="30" customWidth="1"/>
    <x:col min="4" max="4" width="34" customWidth="1"/>
    <x:col min="5" max="5" width="12" customWidth="1"/>
    <x:col min="6" max="6" width="14" customWidth="1"/>
    <x:col min="7" max="7" width="12" customWidth="1"/>
    <x:col min="8" max="8" width="14" customWidth="1"/>
    <x:col min="9" max="9" width="15" customWidth="1"/>
    <x:col min="10" max="11" width="11" customWidth="1"/>
    <x:col min="12" max="12" width="22" customWidth="1"/>
    <x:col min="13" max="13" width="13" customWidth="1"/>
    <x:col min="14" max="14" width="14" customWidth="1"/>
    <x:col min="15" max="15" width="16" customWidth="1"/>
    <x:col min="16" max="16" width="42" customWidth="1"/>
    <x:col min="17" max="17" width="34.1796875" customWidth="1"/>
  </x:cols>
  <x:sheetData>
    <x:row r="1" ht="23.5">
      <x:c r="A1" s="17" t="str">
        <x:v>MOST VALUE-FOR-MONEY CARS UNDER ₹10L — TRG CERTIFIED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>
      <x:c r="A2" s="14" t="str">
        <x:v>Delhi on-road prices • September 2026 • Indicative prices; dealer discounts can change the final deal.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3">
      <x:c r="A3" t="str">
        <x:v>6 shortlisted cars • Manual/petrol variants • TRG editorial verdicts, safety, mileage and ownership context</x:v>
      </x:c>
    </x:row>
    <x:row r="4" ht="29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1" t="s">
        <x:v>4</x:v>
      </x:c>
      <x:c r="F4" s="1" t="s">
        <x:v>5</x:v>
      </x:c>
      <x:c r="G4" s="1" t="s">
        <x:v>6</x:v>
      </x:c>
      <x:c r="H4" s="1" t="s">
        <x:v>7</x:v>
      </x:c>
      <x:c r="I4" s="1" t="s">
        <x:v>8</x:v>
      </x:c>
      <x:c r="J4" s="1" t="s">
        <x:v>9</x:v>
      </x:c>
      <x:c r="K4" s="1" t="s">
        <x:v>10</x:v>
      </x:c>
      <x:c r="L4" s="1" t="s">
        <x:v>11</x:v>
      </x:c>
      <x:c r="M4" s="1" t="s">
        <x:v>12</x:v>
      </x:c>
      <x:c r="N4" s="1" t="s">
        <x:v>13</x:v>
      </x:c>
      <x:c r="O4" s="1" t="s">
        <x:v>14</x:v>
      </x:c>
      <x:c r="P4" s="1" t="s">
        <x:v>15</x:v>
      </x:c>
      <x:c r="Q4" s="1" t="s">
        <x:v>16</x:v>
      </x:c>
    </x:row>
    <x:row r="5" ht="43.5">
      <x:c r="A5" s="2" t="s">
        <x:v>17</x:v>
      </x:c>
      <x:c r="B5" s="3">
        <x:v>929518</x:v>
      </x:c>
      <x:c r="C5" s="2" t="s">
        <x:v>18</x:v>
      </x:c>
      <x:c r="D5" s="2" t="s">
        <x:v>19</x:v>
      </x:c>
      <x:c r="E5" s="2">
        <x:v>88.5</x:v>
      </x:c>
      <x:c r="F5" s="2">
        <x:v>113</x:v>
      </x:c>
      <x:c r="G5" s="2" t="s">
        <x:v>20</x:v>
      </x:c>
      <x:c r="H5" s="2">
        <x:v>22.35</x:v>
      </x:c>
      <x:c r="I5" s="2">
        <x:v>19.329999999999998</x:v>
      </x:c>
      <x:c r="J5" s="2">
        <x:v>318</x:v>
      </x:c>
      <x:c r="K5" s="2">
        <x:v>170</x:v>
      </x:c>
      <x:c r="L5" s="2" t="s">
        <x:v>21</x:v>
      </x:c>
      <x:c r="M5" s="2">
        <x:v>4</x:v>
      </x:c>
      <x:c r="N5" s="2">
        <x:v>5</x:v>
      </x:c>
      <x:c r="O5" s="2">
        <x:v>3</x:v>
      </x:c>
      <x:c r="P5" s="2" t="s">
        <x:v>22</x:v>
      </x:c>
      <x:c r="Q5" s="2" t="s">
        <x:v>23</x:v>
      </x:c>
    </x:row>
    <x:row r="6" ht="43.5">
      <x:c r="A6" s="2" t="s">
        <x:v>24</x:v>
      </x:c>
      <x:c r="B6" s="3">
        <x:v>1036192</x:v>
      </x:c>
      <x:c r="C6" s="2" t="s">
        <x:v>25</x:v>
      </x:c>
      <x:c r="D6" s="2" t="s">
        <x:v>26</x:v>
      </x:c>
      <x:c r="E6" s="2">
        <x:v>98.69</x:v>
      </x:c>
      <x:c r="F6" s="2">
        <x:v>147.6</x:v>
      </x:c>
      <x:c r="G6" s="2" t="s">
        <x:v>20</x:v>
      </x:c>
      <x:c r="H6" s="2">
        <x:v>21.5</x:v>
      </x:c>
      <x:c r="I6" s="2">
        <x:v>16.75</x:v>
      </x:c>
      <x:c r="J6" s="2">
        <x:v>308</x:v>
      </x:c>
      <x:c r="K6" s="2">
        <x:v>190</x:v>
      </x:c>
      <x:c r="L6" s="2" t="s">
        <x:v>27</x:v>
      </x:c>
      <x:c r="M6" s="2"/>
      <x:c r="N6" s="2">
        <x:v>4.5</x:v>
      </x:c>
      <x:c r="O6" s="2">
        <x:v>4</x:v>
      </x:c>
      <x:c r="P6" s="2" t="s">
        <x:v>28</x:v>
      </x:c>
      <x:c r="Q6" s="2" t="s">
        <x:v>29</x:v>
      </x:c>
    </x:row>
    <x:row r="7" ht="43.5">
      <x:c r="A7" s="2" t="s">
        <x:v>30</x:v>
      </x:c>
      <x:c r="B7" s="3">
        <x:v>1055607</x:v>
      </x:c>
      <x:c r="C7" s="2" t="s">
        <x:v>31</x:v>
      </x:c>
      <x:c r="D7" s="2" t="s">
        <x:v>32</x:v>
      </x:c>
      <x:c r="E7" s="2">
        <x:v>114</x:v>
      </x:c>
      <x:c r="F7" s="2">
        <x:v>178</x:v>
      </x:c>
      <x:c r="G7" s="2" t="s">
        <x:v>33</x:v>
      </x:c>
      <x:c r="H7" s="2">
        <x:v>19.68</x:v>
      </x:c>
      <x:c r="I7" s="2">
        <x:v>12.86</x:v>
      </x:c>
      <x:c r="J7" s="2">
        <x:v>360</x:v>
      </x:c>
      <x:c r="K7" s="2">
        <x:v>189</x:v>
      </x:c>
      <x:c r="L7" s="2" t="s">
        <x:v>34</x:v>
      </x:c>
      <x:c r="M7" s="2">
        <x:v>5</x:v>
      </x:c>
      <x:c r="N7" s="2">
        <x:v>3</x:v>
      </x:c>
      <x:c r="O7" s="2">
        <x:v>5</x:v>
      </x:c>
      <x:c r="P7" s="2" t="s">
        <x:v>35</x:v>
      </x:c>
      <x:c r="Q7" s="2" t="s">
        <x:v>36</x:v>
      </x:c>
    </x:row>
    <x:row r="8" ht="43.5">
      <x:c r="A8" s="2" t="s">
        <x:v>37</x:v>
      </x:c>
      <x:c r="B8" s="3">
        <x:v>1022855</x:v>
      </x:c>
      <x:c r="C8" s="2" t="s">
        <x:v>25</x:v>
      </x:c>
      <x:c r="D8" s="2" t="s">
        <x:v>38</x:v>
      </x:c>
      <x:c r="E8" s="2">
        <x:v>118</x:v>
      </x:c>
      <x:c r="F8" s="2">
        <x:v>172</x:v>
      </x:c>
      <x:c r="G8" s="2" t="s">
        <x:v>33</x:v>
      </x:c>
      <x:c r="H8" s="2">
        <x:v>18.739999999999998</x:v>
      </x:c>
      <x:c r="I8" s="2">
        <x:v>12.8</x:v>
      </x:c>
      <x:c r="J8" s="2">
        <x:v>375</x:v>
      </x:c>
      <x:c r="K8" s="2">
        <x:v>190</x:v>
      </x:c>
      <x:c r="L8" s="2" t="s">
        <x:v>34</x:v>
      </x:c>
      <x:c r="M8" s="2">
        <x:v>5</x:v>
      </x:c>
      <x:c r="N8" s="2">
        <x:v>3.5</x:v>
      </x:c>
      <x:c r="O8" s="2">
        <x:v>4.5</x:v>
      </x:c>
      <x:c r="P8" s="2" t="s">
        <x:v>39</x:v>
      </x:c>
      <x:c r="Q8" s="2" t="s">
        <x:v>40</x:v>
      </x:c>
    </x:row>
    <x:row r="9" ht="43.5">
      <x:c r="A9" s="2" t="s">
        <x:v>41</x:v>
      </x:c>
      <x:c r="B9" s="3">
        <x:v>930199</x:v>
      </x:c>
      <x:c r="C9" s="2" t="s">
        <x:v>42</x:v>
      </x:c>
      <x:c r="D9" s="2" t="s">
        <x:v>43</x:v>
      </x:c>
      <x:c r="E9" s="2">
        <x:v>86.79</x:v>
      </x:c>
      <x:c r="F9" s="2">
        <x:v>115</x:v>
      </x:c>
      <x:c r="G9" s="2" t="s">
        <x:v>20</x:v>
      </x:c>
      <x:c r="H9" s="2">
        <x:v>19.329999999999998</x:v>
      </x:c>
      <x:c r="I9" s="2"/>
      <x:c r="J9" s="2">
        <x:v>345</x:v>
      </x:c>
      <x:c r="K9" s="2">
        <x:v>165</x:v>
      </x:c>
      <x:c r="L9" s="2" t="s">
        <x:v>34</x:v>
      </x:c>
      <x:c r="M9" s="2">
        <x:v>5</x:v>
      </x:c>
      <x:c r="N9" s="2">
        <x:v>4</x:v>
      </x:c>
      <x:c r="O9" s="2">
        <x:v>3</x:v>
      </x:c>
      <x:c r="P9" s="2" t="s">
        <x:v>44</x:v>
      </x:c>
      <x:c r="Q9" s="2" t="s">
        <x:v>45</x:v>
      </x:c>
    </x:row>
    <x:row r="11">
      <x:c r="A11" s="16" t="s">
        <x:v>46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</x:row>
  </x:sheetData>
  <x:mergeCells>
    <x:mergeCell ref="A2:P2"/>
    <x:mergeCell ref="A11:P11"/>
    <x:mergeCell ref="A1:P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6" width="30" customWidth="1"/>
  </x:cols>
  <x:sheetData>
    <x:row r="1" ht="29">
      <x:c r="A1" s="4" t="s">
        <x:v>47</x:v>
      </x:c>
      <x:c r="B1" s="4" t="s">
        <x:v>17</x:v>
      </x:c>
      <x:c r="C1" s="4" t="s">
        <x:v>24</x:v>
      </x:c>
      <x:c r="D1" s="4" t="s">
        <x:v>30</x:v>
      </x:c>
      <x:c r="E1" s="4" t="s">
        <x:v>37</x:v>
      </x:c>
      <x:c r="F1" s="4" t="s">
        <x:v>41</x:v>
      </x:c>
    </x:row>
    <x:row r="2">
      <x:c r="A2" s="5" t="s">
        <x:v>48</x:v>
      </x:c>
      <x:c r="B2" s="5" t="s">
        <x:v>49</x:v>
      </x:c>
      <x:c r="C2" s="5" t="s">
        <x:v>49</x:v>
      </x:c>
      <x:c r="D2" s="5" t="s">
        <x:v>49</x:v>
      </x:c>
      <x:c r="E2" s="5" t="s">
        <x:v>49</x:v>
      </x:c>
      <x:c r="F2" s="5" t="s">
        <x:v>49</x:v>
      </x:c>
    </x:row>
    <x:row r="3">
      <x:c r="A3" s="5" t="s">
        <x:v>50</x:v>
      </x:c>
      <x:c r="B3" s="5" t="s">
        <x:v>51</x:v>
      </x:c>
      <x:c r="C3" s="5" t="s">
        <x:v>52</x:v>
      </x:c>
      <x:c r="D3" s="5" t="s">
        <x:v>53</x:v>
      </x:c>
      <x:c r="E3" s="5" t="s">
        <x:v>53</x:v>
      </x:c>
      <x:c r="F3" s="5" t="s">
        <x:v>51</x:v>
      </x:c>
    </x:row>
    <x:row r="4">
      <x:c r="A4" s="5" t="s">
        <x:v>3</x:v>
      </x:c>
      <x:c r="B4" s="5" t="s">
        <x:v>54</x:v>
      </x:c>
      <x:c r="C4" s="5" t="s">
        <x:v>55</x:v>
      </x:c>
      <x:c r="D4" s="5" t="s">
        <x:v>56</x:v>
      </x:c>
      <x:c r="E4" s="5" t="s">
        <x:v>57</x:v>
      </x:c>
      <x:c r="F4" s="5" t="s">
        <x:v>54</x:v>
      </x:c>
    </x:row>
    <x:row r="5">
      <x:c r="A5" s="5" t="s">
        <x:v>58</x:v>
      </x:c>
      <x:c r="B5" s="5">
        <x:v>1197</x:v>
      </x:c>
      <x:c r="C5" s="5">
        <x:v>998</x:v>
      </x:c>
      <x:c r="D5" s="5">
        <x:v>999</x:v>
      </x:c>
      <x:c r="E5" s="5">
        <x:v>998</x:v>
      </x:c>
      <x:c r="F5" s="5">
        <x:v>1199</x:v>
      </x:c>
    </x:row>
    <x:row r="6">
      <x:c r="A6" s="5" t="s">
        <x:v>59</x:v>
      </x:c>
      <x:c r="B6" s="5">
        <x:v>4</x:v>
      </x:c>
      <x:c r="C6" s="5">
        <x:v>3</x:v>
      </x:c>
      <x:c r="D6" s="5">
        <x:v>3</x:v>
      </x:c>
      <x:c r="E6" s="5">
        <x:v>3</x:v>
      </x:c>
      <x:c r="F6" s="5">
        <x:v>3</x:v>
      </x:c>
    </x:row>
    <x:row r="7">
      <x:c r="A7" s="5" t="s">
        <x:v>4</x:v>
      </x:c>
      <x:c r="B7" s="5">
        <x:v>88.5</x:v>
      </x:c>
      <x:c r="C7" s="5">
        <x:v>98.69</x:v>
      </x:c>
      <x:c r="D7" s="5">
        <x:v>114</x:v>
      </x:c>
      <x:c r="E7" s="5">
        <x:v>118</x:v>
      </x:c>
      <x:c r="F7" s="5">
        <x:v>86.79</x:v>
      </x:c>
    </x:row>
    <x:row r="8">
      <x:c r="A8" s="5" t="s">
        <x:v>5</x:v>
      </x:c>
      <x:c r="B8" s="5">
        <x:v>113</x:v>
      </x:c>
      <x:c r="C8" s="5">
        <x:v>147.6</x:v>
      </x:c>
      <x:c r="D8" s="5">
        <x:v>178</x:v>
      </x:c>
      <x:c r="E8" s="5">
        <x:v>172</x:v>
      </x:c>
      <x:c r="F8" s="5">
        <x:v>115</x:v>
      </x:c>
    </x:row>
    <x:row r="9">
      <x:c r="A9" s="5" t="s">
        <x:v>60</x:v>
      </x:c>
      <x:c r="B9" s="5" t="s">
        <x:v>20</x:v>
      </x:c>
      <x:c r="C9" s="5" t="s">
        <x:v>20</x:v>
      </x:c>
      <x:c r="D9" s="5" t="s">
        <x:v>33</x:v>
      </x:c>
      <x:c r="E9" s="5" t="s">
        <x:v>33</x:v>
      </x:c>
      <x:c r="F9" s="5" t="s">
        <x:v>20</x:v>
      </x:c>
    </x:row>
    <x:row r="10">
      <x:c r="A10" s="5" t="s">
        <x:v>61</x:v>
      </x:c>
      <x:c r="B10" s="5">
        <x:v>22.35</x:v>
      </x:c>
      <x:c r="C10" s="5">
        <x:v>21.5</x:v>
      </x:c>
      <x:c r="D10" s="5">
        <x:v>19.68</x:v>
      </x:c>
      <x:c r="E10" s="5">
        <x:v>18.739999999999998</x:v>
      </x:c>
      <x:c r="F10" s="5">
        <x:v>19.329999999999998</x:v>
      </x:c>
    </x:row>
    <x:row r="11">
      <x:c r="A11" s="5" t="s">
        <x:v>62</x:v>
      </x:c>
      <x:c r="B11" s="5">
        <x:v>19.329999999999998</x:v>
      </x:c>
      <x:c r="C11" s="5">
        <x:v>16.75</x:v>
      </x:c>
      <x:c r="D11" s="5">
        <x:v>12.86</x:v>
      </x:c>
      <x:c r="E11" s="5">
        <x:v>12.8</x:v>
      </x:c>
      <x:c r="F11" s="5" t="s">
        <x:v>63</x:v>
      </x:c>
    </x:row>
    <x:row r="12">
      <x:c r="A12" s="5" t="s">
        <x:v>64</x:v>
      </x:c>
      <x:c r="B12" s="5">
        <x:v>318</x:v>
      </x:c>
      <x:c r="C12" s="5">
        <x:v>308</x:v>
      </x:c>
      <x:c r="D12" s="5">
        <x:v>360</x:v>
      </x:c>
      <x:c r="E12" s="5">
        <x:v>375</x:v>
      </x:c>
      <x:c r="F12" s="5">
        <x:v>345</x:v>
      </x:c>
    </x:row>
    <x:row r="13">
      <x:c r="A13" s="5" t="s">
        <x:v>65</x:v>
      </x:c>
      <x:c r="B13" s="5">
        <x:v>37</x:v>
      </x:c>
      <x:c r="C13" s="5">
        <x:v>37</x:v>
      </x:c>
      <x:c r="D13" s="5">
        <x:v>45</x:v>
      </x:c>
      <x:c r="E13" s="5">
        <x:v>45</x:v>
      </x:c>
      <x:c r="F13" s="5">
        <x:v>37</x:v>
      </x:c>
    </x:row>
    <x:row r="14">
      <x:c r="A14" s="5" t="s">
        <x:v>66</x:v>
      </x:c>
      <x:c r="B14" s="5">
        <x:v>170</x:v>
      </x:c>
      <x:c r="C14" s="5">
        <x:v>190</x:v>
      </x:c>
      <x:c r="D14" s="5">
        <x:v>189</x:v>
      </x:c>
      <x:c r="E14" s="5">
        <x:v>190</x:v>
      </x:c>
      <x:c r="F14" s="5">
        <x:v>165</x:v>
      </x:c>
    </x:row>
    <x:row r="15">
      <x:c r="A15" s="5" t="s">
        <x:v>67</x:v>
      </x:c>
      <x:c r="B15" s="5">
        <x:v>3990</x:v>
      </x:c>
      <x:c r="C15" s="5" t="s">
        <x:v>68</x:v>
      </x:c>
      <x:c r="D15" s="5">
        <x:v>3995</x:v>
      </x:c>
      <x:c r="E15" s="5">
        <x:v>3995</x:v>
      </x:c>
      <x:c r="F15" s="5">
        <x:v>3990</x:v>
      </x:c>
    </x:row>
    <x:row r="16">
      <x:c r="A16" s="5" t="s">
        <x:v>69</x:v>
      </x:c>
      <x:c r="B16" s="5">
        <x:v>1745</x:v>
      </x:c>
      <x:c r="C16" s="5" t="s">
        <x:v>70</x:v>
      </x:c>
      <x:c r="D16" s="5">
        <x:v>1783</x:v>
      </x:c>
      <x:c r="E16" s="5">
        <x:v>1800</x:v>
      </x:c>
      <x:c r="F16" s="5">
        <x:v>1755</x:v>
      </x:c>
    </x:row>
    <x:row r="17">
      <x:c r="A17" s="5" t="s">
        <x:v>71</x:v>
      </x:c>
      <x:c r="B17" s="5">
        <x:v>2520</x:v>
      </x:c>
      <x:c r="C17" s="5" t="s">
        <x:v>72</x:v>
      </x:c>
      <x:c r="D17" s="5">
        <x:v>2566</x:v>
      </x:c>
      <x:c r="E17" s="5">
        <x:v>2520</x:v>
      </x:c>
      <x:c r="F17" s="5">
        <x:v>2501</x:v>
      </x:c>
    </x:row>
    <x:row r="18">
      <x:c r="A18" s="5" t="s">
        <x:v>73</x:v>
      </x:c>
      <x:c r="B18" s="5">
        <x:v>6</x:v>
      </x:c>
      <x:c r="C18" s="5">
        <x:v>6</x:v>
      </x:c>
      <x:c r="D18" s="5">
        <x:v>6</x:v>
      </x:c>
      <x:c r="E18" s="5">
        <x:v>6</x:v>
      </x:c>
      <x:c r="F18" s="5">
        <x:v>6</x:v>
      </x:c>
    </x:row>
    <x:row r="19">
      <x:c r="A19" s="5" t="s">
        <x:v>74</x:v>
      </x:c>
      <x:c r="B19" s="5" t="s">
        <x:v>75</x:v>
      </x:c>
      <x:c r="C19" s="5" t="s">
        <x:v>76</x:v>
      </x:c>
      <x:c r="D19" s="5" t="s">
        <x:v>77</x:v>
      </x:c>
      <x:c r="E19" s="5" t="s">
        <x:v>77</x:v>
      </x:c>
      <x:c r="F19" s="5" t="s">
        <x:v>77</x:v>
      </x:c>
    </x:row>
    <x:row r="20">
      <x:c r="A20" s="5" t="s">
        <x:v>78</x:v>
      </x:c>
      <x:c r="B20" s="5" t="s">
        <x:v>79</x:v>
      </x:c>
      <x:c r="C20" s="5" t="s">
        <x:v>79</x:v>
      </x:c>
      <x:c r="D20" s="5" t="s">
        <x:v>79</x:v>
      </x:c>
      <x:c r="E20" s="5" t="s">
        <x:v>80</x:v>
      </x:c>
      <x:c r="F20" s="5" t="s">
        <x:v>79</x:v>
      </x:c>
    </x:row>
    <x:row r="21">
      <x:c r="A21" s="5" t="s">
        <x:v>81</x:v>
      </x:c>
      <x:c r="B21" s="5" t="s">
        <x:v>79</x:v>
      </x:c>
      <x:c r="C21" s="5" t="s">
        <x:v>79</x:v>
      </x:c>
      <x:c r="D21" s="5" t="s">
        <x:v>82</x:v>
      </x:c>
      <x:c r="E21" s="5" t="s">
        <x:v>83</x:v>
      </x:c>
      <x:c r="F21" s="5" t="s">
        <x:v>84</x:v>
      </x:c>
    </x:row>
    <x:row r="22">
      <x:c r="A22" s="5" t="s">
        <x:v>85</x:v>
      </x:c>
      <x:c r="B22" s="5" t="s">
        <x:v>82</x:v>
      </x:c>
      <x:c r="C22" s="5" t="s">
        <x:v>86</x:v>
      </x:c>
      <x:c r="D22" s="5" t="s">
        <x:v>82</x:v>
      </x:c>
      <x:c r="E22" s="5" t="s">
        <x:v>83</x:v>
      </x:c>
      <x:c r="F22" s="5" t="s">
        <x:v>82</x:v>
      </x:c>
    </x:row>
    <x:row r="23">
      <x:c r="A23" s="5" t="s">
        <x:v>87</x:v>
      </x:c>
      <x:c r="B23" s="5" t="s">
        <x:v>82</x:v>
      </x:c>
      <x:c r="C23" s="5" t="s">
        <x:v>82</x:v>
      </x:c>
      <x:c r="D23" s="5" t="s">
        <x:v>82</x:v>
      </x:c>
      <x:c r="E23" s="5" t="s">
        <x:v>82</x:v>
      </x:c>
      <x:c r="F23" s="5" t="s">
        <x:v>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4" customWidth="1"/>
    <x:col min="2" max="6" width="30" customWidth="1"/>
  </x:cols>
  <x:sheetData>
    <x:row r="1" ht="29">
      <x:c r="A1" s="6" t="s">
        <x:v>88</x:v>
      </x:c>
      <x:c r="B1" s="6" t="s">
        <x:v>17</x:v>
      </x:c>
      <x:c r="C1" s="6" t="s">
        <x:v>24</x:v>
      </x:c>
      <x:c r="D1" s="6" t="s">
        <x:v>30</x:v>
      </x:c>
      <x:c r="E1" s="6" t="s">
        <x:v>37</x:v>
      </x:c>
      <x:c r="F1" s="6" t="s">
        <x:v>41</x:v>
      </x:c>
    </x:row>
    <x:row r="2">
      <x:c r="A2" s="5" t="s">
        <x:v>89</x:v>
      </x:c>
      <x:c r="B2" s="7" t="s">
        <x:v>82</x:v>
      </x:c>
      <x:c r="C2" s="7" t="s">
        <x:v>82</x:v>
      </x:c>
      <x:c r="D2" s="7" t="s">
        <x:v>82</x:v>
      </x:c>
      <x:c r="E2" s="7" t="s">
        <x:v>82</x:v>
      </x:c>
      <x:c r="F2" s="7" t="s">
        <x:v>82</x:v>
      </x:c>
    </x:row>
    <x:row r="3">
      <x:c r="A3" s="5" t="s">
        <x:v>90</x:v>
      </x:c>
      <x:c r="B3" s="7" t="s">
        <x:v>82</x:v>
      </x:c>
      <x:c r="C3" s="7" t="s">
        <x:v>82</x:v>
      </x:c>
      <x:c r="D3" s="7" t="s">
        <x:v>82</x:v>
      </x:c>
      <x:c r="E3" s="7" t="s">
        <x:v>82</x:v>
      </x:c>
      <x:c r="F3" s="7" t="s">
        <x:v>82</x:v>
      </x:c>
    </x:row>
    <x:row r="4">
      <x:c r="A4" s="5" t="s">
        <x:v>74</x:v>
      </x:c>
      <x:c r="B4" s="7" t="s">
        <x:v>75</x:v>
      </x:c>
      <x:c r="C4" s="8" t="s">
        <x:v>76</x:v>
      </x:c>
      <x:c r="D4" s="7" t="s">
        <x:v>77</x:v>
      </x:c>
      <x:c r="E4" s="7" t="s">
        <x:v>77</x:v>
      </x:c>
      <x:c r="F4" s="7" t="s">
        <x:v>77</x:v>
      </x:c>
    </x:row>
    <x:row r="5">
      <x:c r="A5" s="5" t="s">
        <x:v>91</x:v>
      </x:c>
      <x:c r="B5" s="7" t="s">
        <x:v>82</x:v>
      </x:c>
      <x:c r="C5" s="7" t="s">
        <x:v>82</x:v>
      </x:c>
      <x:c r="D5" s="8" t="s">
        <x:v>79</x:v>
      </x:c>
      <x:c r="E5" s="8" t="s">
        <x:v>79</x:v>
      </x:c>
      <x:c r="F5" s="7" t="s">
        <x:v>82</x:v>
      </x:c>
    </x:row>
    <x:row r="6">
      <x:c r="A6" s="5" t="s">
        <x:v>92</x:v>
      </x:c>
      <x:c r="B6" s="5" t="s">
        <x:v>86</x:v>
      </x:c>
      <x:c r="C6" s="8" t="s">
        <x:v>79</x:v>
      </x:c>
      <x:c r="D6" s="7" t="s">
        <x:v>82</x:v>
      </x:c>
      <x:c r="E6" s="7" t="s">
        <x:v>93</x:v>
      </x:c>
      <x:c r="F6" s="7" t="s">
        <x:v>82</x:v>
      </x:c>
    </x:row>
    <x:row r="7">
      <x:c r="A7" s="5" t="s">
        <x:v>81</x:v>
      </x:c>
      <x:c r="B7" s="8" t="s">
        <x:v>79</x:v>
      </x:c>
      <x:c r="C7" s="8" t="s">
        <x:v>79</x:v>
      </x:c>
      <x:c r="D7" s="7" t="s">
        <x:v>82</x:v>
      </x:c>
      <x:c r="E7" s="8" t="s">
        <x:v>94</x:v>
      </x:c>
      <x:c r="F7" s="5" t="s">
        <x:v>95</x:v>
      </x:c>
    </x:row>
    <x:row r="8">
      <x:c r="A8" s="5" t="s">
        <x:v>85</x:v>
      </x:c>
      <x:c r="B8" s="7" t="s">
        <x:v>82</x:v>
      </x:c>
      <x:c r="C8" s="5" t="s">
        <x:v>86</x:v>
      </x:c>
      <x:c r="D8" s="7" t="s">
        <x:v>82</x:v>
      </x:c>
      <x:c r="E8" s="8" t="s">
        <x:v>94</x:v>
      </x:c>
      <x:c r="F8" s="7" t="s">
        <x:v>82</x:v>
      </x:c>
    </x:row>
    <x:row r="9">
      <x:c r="A9" s="5" t="s">
        <x:v>96</x:v>
      </x:c>
      <x:c r="B9" s="7" t="s">
        <x:v>82</x:v>
      </x:c>
      <x:c r="C9" s="7" t="s">
        <x:v>82</x:v>
      </x:c>
      <x:c r="D9" s="7" t="s">
        <x:v>82</x:v>
      </x:c>
      <x:c r="E9" s="8" t="s">
        <x:v>94</x:v>
      </x:c>
      <x:c r="F9" s="7" t="s">
        <x:v>82</x:v>
      </x:c>
    </x:row>
    <x:row r="10">
      <x:c r="A10" s="5" t="s">
        <x:v>87</x:v>
      </x:c>
      <x:c r="B10" s="7" t="s">
        <x:v>82</x:v>
      </x:c>
      <x:c r="C10" s="7" t="s">
        <x:v>82</x:v>
      </x:c>
      <x:c r="D10" s="7" t="s">
        <x:v>82</x:v>
      </x:c>
      <x:c r="E10" s="7" t="s">
        <x:v>82</x:v>
      </x:c>
      <x:c r="F10" s="7" t="s">
        <x:v>82</x:v>
      </x:c>
    </x:row>
    <x:row r="11">
      <x:c r="A11" s="5" t="s">
        <x:v>97</x:v>
      </x:c>
      <x:c r="B11" s="7" t="s">
        <x:v>82</x:v>
      </x:c>
      <x:c r="C11" s="7" t="s">
        <x:v>82</x:v>
      </x:c>
      <x:c r="D11" s="5" t="s">
        <x:v>98</x:v>
      </x:c>
      <x:c r="E11" s="7" t="s">
        <x:v>82</x:v>
      </x:c>
      <x:c r="F11" s="7" t="s">
        <x:v>82</x:v>
      </x:c>
    </x:row>
    <x:row r="12">
      <x:c r="A12" s="5" t="s">
        <x:v>99</x:v>
      </x:c>
      <x:c r="B12" s="7" t="s">
        <x:v>82</x:v>
      </x:c>
      <x:c r="C12" s="7" t="s">
        <x:v>82</x:v>
      </x:c>
      <x:c r="D12" s="7" t="s">
        <x:v>82</x:v>
      </x:c>
      <x:c r="E12" s="5" t="s">
        <x:v>86</x:v>
      </x:c>
      <x:c r="F12" s="5" t="s">
        <x:v>95</x:v>
      </x:c>
    </x:row>
    <x:row r="13">
      <x:c r="A13" s="5" t="s">
        <x:v>100</x:v>
      </x:c>
      <x:c r="B13" s="7" t="s">
        <x:v>82</x:v>
      </x:c>
      <x:c r="C13" s="7" t="s">
        <x:v>82</x:v>
      </x:c>
      <x:c r="D13" s="7" t="s">
        <x:v>82</x:v>
      </x:c>
      <x:c r="E13" s="8" t="s">
        <x:v>83</x:v>
      </x:c>
      <x:c r="F13" s="5" t="s">
        <x:v>95</x:v>
      </x:c>
    </x:row>
    <x:row r="14">
      <x:c r="A14" s="5" t="s">
        <x:v>78</x:v>
      </x:c>
      <x:c r="B14" s="8" t="s">
        <x:v>79</x:v>
      </x:c>
      <x:c r="C14" s="8" t="s">
        <x:v>79</x:v>
      </x:c>
      <x:c r="D14" s="8" t="s">
        <x:v>79</x:v>
      </x:c>
      <x:c r="E14" s="5" t="s">
        <x:v>95</x:v>
      </x:c>
      <x:c r="F14" s="8" t="s">
        <x:v>79</x:v>
      </x:c>
    </x:row>
    <x:row r="15">
      <x:c r="A15" s="5" t="s">
        <x:v>101</x:v>
      </x:c>
      <x:c r="B15" s="8" t="s">
        <x:v>79</x:v>
      </x:c>
      <x:c r="C15" s="8" t="s">
        <x:v>79</x:v>
      </x:c>
      <x:c r="D15" s="7" t="s">
        <x:v>82</x:v>
      </x:c>
      <x:c r="E15" s="8" t="s">
        <x:v>79</x:v>
      </x:c>
      <x:c r="F15" s="7" t="s">
        <x:v>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1" customWidth="1"/>
    <x:col min="2" max="3" width="17" customWidth="1"/>
    <x:col min="4" max="5" width="22" customWidth="1"/>
    <x:col min="6" max="7" width="26" customWidth="1"/>
    <x:col min="8" max="8" width="22" customWidth="1"/>
  </x:cols>
  <x:sheetData>
    <x:row r="1" ht="23.5">
      <x:c r="A1" s="17" t="s">
        <x:v>102</x:v>
      </x:c>
      <x:c r="B1" s="15"/>
      <x:c r="C1" s="15"/>
      <x:c r="D1" s="15"/>
      <x:c r="E1" s="15"/>
      <x:c r="F1" s="15"/>
      <x:c r="G1" s="15"/>
      <x:c r="H1" s="15"/>
    </x:row>
    <x:row r="3">
      <x:c r="A3" s="9" t="s">
        <x:v>103</x:v>
      </x:c>
      <x:c r="B3" s="10">
        <x:v>10000</x:v>
      </x:c>
    </x:row>
    <x:row r="4">
      <x:c r="A4" s="9" t="s">
        <x:v>104</x:v>
      </x:c>
      <x:c r="B4" s="10">
        <x:v>102</x:v>
      </x:c>
    </x:row>
    <x:row r="5">
      <x:c r="A5" s="9" t="s">
        <x:v>105</x:v>
      </x:c>
      <x:c r="B5" s="10">
        <x:v>5</x:v>
      </x:c>
    </x:row>
    <x:row r="6">
      <x:c r="A6" s="9" t="s">
        <x:v>106</x:v>
      </x:c>
      <x:c r="B6" s="10">
        <x:v>16</x:v>
      </x:c>
    </x:row>
    <x:row r="9" ht="29">
      <x:c r="A9" s="6" t="s">
        <x:v>0</x:v>
      </x:c>
      <x:c r="B9" s="6" t="s">
        <x:v>107</x:v>
      </x:c>
      <x:c r="C9" s="6" t="s">
        <x:v>108</x:v>
      </x:c>
      <x:c r="D9" s="6" t="s">
        <x:v>109</x:v>
      </x:c>
      <x:c r="E9" s="6" t="s">
        <x:v>110</x:v>
      </x:c>
      <x:c r="F9" s="6" t="s">
        <x:v>111</x:v>
      </x:c>
      <x:c r="G9" s="6" t="s">
        <x:v>112</x:v>
      </x:c>
      <x:c r="H9" s="6" t="s">
        <x:v>113</x:v>
      </x:c>
    </x:row>
    <x:row r="10">
      <x:c r="A10" s="5" t="s">
        <x:v>17</x:v>
      </x:c>
      <x:c r="B10" s="11">
        <x:v>929518</x:v>
      </x:c>
      <x:c r="C10" s="5">
        <x:v>19.329999999999998</x:v>
      </x:c>
      <x:c r="D10" s="11" t="n">
        <x:f>($B$3/C10)*$B$4</x:f>
        <x:v>52767.718572167614</x:v>
      </x:c>
      <x:c r="E10" s="11" t="n">
        <x:f>D10*$B$5</x:f>
        <x:v>263838.59286083805</x:v>
      </x:c>
      <x:c r="F10" s="11" t="n">
        <x:f>B10+E10</x:f>
        <x:v>1193356.592860838</x:v>
      </x:c>
      <x:c r="G10" s="11" t="n">
        <x:f>E10-MIN($E$10:$E$14)</x:f>
        <x:v>0</x:v>
      </x:c>
      <x:c r="H10" s="5" t="s">
        <x:v>114</x:v>
      </x:c>
    </x:row>
    <x:row r="11" ht="29">
      <x:c r="A11" s="5" t="s">
        <x:v>24</x:v>
      </x:c>
      <x:c r="B11" s="11">
        <x:v>1036192</x:v>
      </x:c>
      <x:c r="C11" s="5">
        <x:v>16.75</x:v>
      </x:c>
      <x:c r="D11" s="11" t="n">
        <x:f>($B$3/C11)*$B$4</x:f>
        <x:v>60895.522388059704</x:v>
      </x:c>
      <x:c r="E11" s="11" t="n">
        <x:f>D11*$B$5</x:f>
        <x:v>304477.6119402985</x:v>
      </x:c>
      <x:c r="F11" s="11" t="n">
        <x:f>B11+E11</x:f>
        <x:v>1340669.6119402985</x:v>
      </x:c>
      <x:c r="G11" s="11" t="n">
        <x:f>E11-MIN($E$10:$E$14)</x:f>
        <x:v>40639.01907946047</x:v>
      </x:c>
      <x:c r="H11" s="5" t="s">
        <x:v>114</x:v>
      </x:c>
    </x:row>
    <x:row r="12">
      <x:c r="A12" s="5" t="s">
        <x:v>30</x:v>
      </x:c>
      <x:c r="B12" s="11">
        <x:v>1055607</x:v>
      </x:c>
      <x:c r="C12" s="5">
        <x:v>12.86</x:v>
      </x:c>
      <x:c r="D12" s="11" t="n">
        <x:f>($B$3/C12)*$B$4</x:f>
        <x:v>79315.70762052877</x:v>
      </x:c>
      <x:c r="E12" s="11" t="n">
        <x:f>D12*$B$5</x:f>
        <x:v>396578.53810264386</x:v>
      </x:c>
      <x:c r="F12" s="11" t="n">
        <x:f>B12+E12</x:f>
        <x:v>1452185.5381026438</x:v>
      </x:c>
      <x:c r="G12" s="11" t="n">
        <x:f>E12-MIN($E$10:$E$14)</x:f>
        <x:v>132739.9452418058</x:v>
      </x:c>
      <x:c r="H12" s="5" t="s">
        <x:v>114</x:v>
      </x:c>
    </x:row>
    <x:row r="13">
      <x:c r="A13" s="5" t="s">
        <x:v>37</x:v>
      </x:c>
      <x:c r="B13" s="11">
        <x:v>1022855</x:v>
      </x:c>
      <x:c r="C13" s="5">
        <x:v>12.8</x:v>
      </x:c>
      <x:c r="D13" s="11" t="n">
        <x:f>($B$3/C13)*$B$4</x:f>
        <x:v>79687.5</x:v>
      </x:c>
      <x:c r="E13" s="11" t="n">
        <x:f>D13*$B$5</x:f>
        <x:v>398437.5</x:v>
      </x:c>
      <x:c r="F13" s="11" t="n">
        <x:f>B13+E13</x:f>
        <x:v>1421292.5</x:v>
      </x:c>
      <x:c r="G13" s="11" t="n">
        <x:f>E13-MIN($E$10:$E$14)</x:f>
        <x:v>134598.90713916195</x:v>
      </x:c>
      <x:c r="H13" s="5" t="s">
        <x:v>114</x:v>
      </x:c>
    </x:row>
    <x:row r="14">
      <x:c r="A14" s="5" t="s">
        <x:v>41</x:v>
      </x:c>
      <x:c r="B14" s="11">
        <x:v>930199</x:v>
      </x:c>
      <x:c r="C14" s="5" t="n">
        <x:f>$B$6</x:f>
        <x:v>16</x:v>
      </x:c>
      <x:c r="D14" s="11" t="n">
        <x:f>($B$3/C14)*$B$4</x:f>
        <x:v>63750</x:v>
      </x:c>
      <x:c r="E14" s="11" t="n">
        <x:f>D14*$B$5</x:f>
        <x:v>318750</x:v>
      </x:c>
      <x:c r="F14" s="11" t="n">
        <x:f>B14+E14</x:f>
        <x:v>1248949</x:v>
      </x:c>
      <x:c r="G14" s="11" t="n">
        <x:f>E14-MIN($E$10:$E$14)</x:f>
        <x:v>54911.40713916195</x:v>
      </x:c>
      <x:c r="H14" s="5" t="s">
        <x:v>115</x:v>
      </x:c>
    </x:row>
    <x:row r="17">
      <x:c r="A17" s="16" t="s">
        <x:v>116</x:v>
      </x:c>
      <x:c r="B17" s="15"/>
      <x:c r="C17" s="15"/>
      <x:c r="D17" s="15"/>
      <x:c r="E17" s="15"/>
      <x:c r="F17" s="15"/>
      <x:c r="G17" s="15"/>
      <x:c r="H17" s="15"/>
    </x:row>
  </x:sheetData>
  <x:mergeCells>
    <x:mergeCell ref="A17:H17"/>
    <x:mergeCell ref="A1:H1"/>
  </x:mergeCells>
  <x:pageMargins left="0.7" right="0.7" top="0.75" bottom="0.75" header="0.3" footer="0.3"/>
  <x:drawing xmlns:r="http://schemas.openxmlformats.org/officeDocument/2006/relationships" r:id="Rd544c2e301f0433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5"/>
  <x:sheetData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4" customWidth="1"/>
    <x:col min="2" max="5" width="36" customWidth="1"/>
  </x:cols>
  <x:sheetData>
    <x:row r="1">
      <x:c r="A1" s="12" t="s">
        <x:v>0</x:v>
      </x:c>
      <x:c r="B1" s="12" t="s">
        <x:v>117</x:v>
      </x:c>
      <x:c r="C1" s="12" t="s">
        <x:v>118</x:v>
      </x:c>
      <x:c r="D1" s="12" t="s">
        <x:v>119</x:v>
      </x:c>
      <x:c r="E1" s="12" t="s">
        <x:v>120</x:v>
      </x:c>
    </x:row>
    <x:row r="2">
      <x:c r="A2" s="2" t="s">
        <x:v>17</x:v>
      </x:c>
      <x:c r="B2" s="2" t="s">
        <x:v>121</x:v>
      </x:c>
      <x:c r="C2" s="2" t="s">
        <x:v>122</x:v>
      </x:c>
      <x:c r="D2" s="2" t="s">
        <x:v>123</x:v>
      </x:c>
      <x:c r="E2" s="2" t="s">
        <x:v>124</x:v>
      </x:c>
    </x:row>
    <x:row r="3" ht="29">
      <x:c r="A3" s="2" t="s">
        <x:v>24</x:v>
      </x:c>
      <x:c r="B3" s="2" t="s">
        <x:v>125</x:v>
      </x:c>
      <x:c r="C3" s="2" t="s">
        <x:v>126</x:v>
      </x:c>
      <x:c r="D3" s="2" t="s">
        <x:v>27</x:v>
      </x:c>
      <x:c r="E3" s="2" t="s">
        <x:v>127</x:v>
      </x:c>
    </x:row>
    <x:row r="4">
      <x:c r="A4" s="2" t="s">
        <x:v>30</x:v>
      </x:c>
      <x:c r="B4" s="2" t="s">
        <x:v>128</x:v>
      </x:c>
      <x:c r="C4" s="2" t="s">
        <x:v>129</x:v>
      </x:c>
      <x:c r="D4" s="2" t="s">
        <x:v>130</x:v>
      </x:c>
      <x:c r="E4" s="2" t="s">
        <x:v>131</x:v>
      </x:c>
    </x:row>
    <x:row r="5">
      <x:c r="A5" s="2" t="s">
        <x:v>37</x:v>
      </x:c>
      <x:c r="B5" s="2" t="s">
        <x:v>132</x:v>
      </x:c>
      <x:c r="C5" s="2" t="s">
        <x:v>133</x:v>
      </x:c>
      <x:c r="D5" s="2" t="s">
        <x:v>134</x:v>
      </x:c>
      <x:c r="E5" s="2" t="s">
        <x:v>135</x:v>
      </x:c>
    </x:row>
    <x:row r="6">
      <x:c r="A6" s="2" t="s">
        <x:v>41</x:v>
      </x:c>
      <x:c r="B6" s="2" t="s">
        <x:v>136</x:v>
      </x:c>
      <x:c r="C6" s="2" t="s">
        <x:v>137</x:v>
      </x:c>
      <x:c r="D6" s="2" t="s">
        <x:v>138</x:v>
      </x:c>
      <x:c r="E6" s="2" t="s">
        <x:v>139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2" customWidth="1"/>
    <x:col min="2" max="2" width="80" customWidth="1"/>
    <x:col min="3" max="3" width="50" customWidth="1"/>
  </x:cols>
  <x:sheetData>
    <x:row r="1">
      <x:c r="A1" s="13" t="s">
        <x:v>140</x:v>
      </x:c>
      <x:c r="B1" s="13" t="s">
        <x:v>141</x:v>
      </x:c>
      <x:c r="C1" s="13" t="s">
        <x:v>142</x:v>
      </x:c>
    </x:row>
    <x:row r="2">
      <x:c r="A2" s="2" t="s">
        <x:v>143</x:v>
      </x:c>
      <x:c r="B2" s="2" t="s">
        <x:v>144</x:v>
      </x:c>
      <x:c r="C2" s="2" t="s">
        <x:v>145</x:v>
      </x:c>
    </x:row>
    <x:row r="3">
      <x:c r="A3" s="2" t="s">
        <x:v>146</x:v>
      </x:c>
      <x:c r="B3" s="2" t="s">
        <x:v>147</x:v>
      </x:c>
      <x:c r="C3" s="2" t="s">
        <x:v>148</x:v>
      </x:c>
    </x:row>
    <x:row r="4">
      <x:c r="A4" s="2" t="s">
        <x:v>149</x:v>
      </x:c>
      <x:c r="B4" s="2" t="s">
        <x:v>150</x:v>
      </x:c>
      <x:c r="C4" s="2" t="s">
        <x:v>151</x:v>
      </x:c>
    </x:row>
    <x:row r="5">
      <x:c r="A5" s="2" t="s">
        <x:v>152</x:v>
      </x:c>
      <x:c r="B5" s="2" t="s">
        <x:v>153</x:v>
      </x:c>
      <x:c r="C5" s="2" t="s">
        <x:v>154</x:v>
      </x:c>
    </x:row>
    <x:row r="6">
      <x:c r="A6" s="2" t="s">
        <x:v>155</x:v>
      </x:c>
      <x:c r="B6" s="2" t="s">
        <x:v>156</x:v>
      </x:c>
      <x:c r="C6" s="2" t="s">
        <x:v>148</x:v>
      </x:c>
    </x:row>
    <x:row r="7">
      <x:c r="A7" s="2" t="s">
        <x:v>157</x:v>
      </x:c>
      <x:c r="B7" s="2" t="s">
        <x:v>158</x:v>
      </x:c>
      <x:c r="C7" s="2" t="s">
        <x:v>159</x:v>
      </x:c>
    </x:row>
    <x:row r="8">
      <x:c r="A8" s="2" t="s">
        <x:v>160</x:v>
      </x:c>
      <x:c r="B8" s="2" t="s">
        <x:v>161</x:v>
      </x:c>
      <x:c r="C8" s="2" t="s">
        <x:v>148</x:v>
      </x:c>
    </x:row>
    <x:row r="9">
      <x:c r="A9" s="2" t="s">
        <x:v>162</x:v>
      </x:c>
      <x:c r="B9" s="2" t="s">
        <x:v>163</x:v>
      </x:c>
      <x:c r="C9" s="2" t="s">
        <x:v>164</x:v>
      </x:c>
    </x:row>
    <x:row r="10">
      <x:c r="A10" s="2" t="s">
        <x:v>165</x:v>
      </x:c>
      <x:c r="B10" s="2" t="s">
        <x:v>166</x:v>
      </x:c>
      <x:c r="C10" s="2" t="s">
        <x:v>167</x:v>
      </x:c>
    </x:row>
    <x:row r="11">
      <x:c r="A11" s="2" t="s">
        <x:v>168</x:v>
      </x:c>
      <x:c r="B11" s="2" t="s">
        <x:v>169</x:v>
      </x:c>
      <x:c r="C11" s="2" t="s">
        <x:v>170</x:v>
      </x:c>
    </x:row>
    <x:row r="12">
      <x:c r="A12" s="2" t="s">
        <x:v>171</x:v>
      </x:c>
      <x:c r="B12" s="2" t="s">
        <x:v>172</x:v>
      </x:c>
      <x:c r="C12" s="2" t="s">
        <x:v>173</x:v>
      </x:c>
    </x:row>
    <x:row r="13">
      <x:c r="A13" s="2" t="s">
        <x:v>174</x:v>
      </x:c>
      <x:c r="B13" s="2" t="s">
        <x:v>175</x:v>
      </x:c>
      <x:c r="C13" s="2" t="s">
        <x:v>176</x:v>
      </x:c>
    </x:row>
    <x:row r="14" ht="29">
      <x:c r="A14" s="2" t="s">
        <x:v>177</x:v>
      </x:c>
      <x:c r="B14" s="2" t="s">
        <x:v>178</x:v>
      </x:c>
      <x:c r="C14" s="2" t="s">
        <x:v>179</x:v>
      </x:c>
    </x:row>
    <x:row r="15">
      <x:c r="A15" s="2" t="s">
        <x:v>180</x:v>
      </x:c>
      <x:c r="B15" s="2" t="s">
        <x:v>181</x:v>
      </x:c>
      <x:c r="C15" s="2" t="s">
        <x:v>182</x:v>
      </x:c>
    </x:row>
    <x:row r="16">
      <x:c r="A16" s="2" t="s">
        <x:v>183</x:v>
      </x:c>
      <x:c r="B16" s="2" t="s">
        <x:v>184</x:v>
      </x:c>
      <x:c r="C16" s="2" t="s">
        <x:v>185</x:v>
      </x:c>
    </x:row>
    <x:row r="17">
      <x:c r="A17" s="2" t="s">
        <x:v>186</x:v>
      </x:c>
      <x:c r="B17" s="2" t="s">
        <x:v>187</x:v>
      </x:c>
      <x:c r="C17" s="2" t="s">
        <x:v>179</x:v>
      </x:c>
    </x:row>
  </x:sheetData>
  <x:pageMargins left="0.7" right="0.7" top="0.75" bottom="0.75" header="0.3" footer="0.3"/>
</x:worksheet>
</file>