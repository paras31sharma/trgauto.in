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ras\Downloads\TRG_Auto_v2\TRG_Auto_v2\assets\"/>
    </mc:Choice>
  </mc:AlternateContent>
  <xr:revisionPtr revIDLastSave="0" documentId="13_ncr:1_{F4BBD9DF-167D-4FC6-8B04-E9BB1E4EC4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ick Comparison" sheetId="1" r:id="rId1"/>
    <sheet name="Detailed Specs" sheetId="2" r:id="rId2"/>
    <sheet name="Feature Comparison" sheetId="3" r:id="rId3"/>
    <sheet name="Ownership Calculator" sheetId="4" r:id="rId4"/>
    <sheet name="Buying Verdict" sheetId="6" r:id="rId5"/>
    <sheet name="Sources &amp; Notes" sheetId="7" r:id="rId6"/>
  </sheets>
  <calcPr calcId="191029"/>
</workbook>
</file>

<file path=xl/calcChain.xml><?xml version="1.0" encoding="utf-8"?>
<calcChain xmlns="http://schemas.openxmlformats.org/spreadsheetml/2006/main">
  <c r="D15" i="4" l="1"/>
  <c r="E15" i="4" s="1"/>
  <c r="C14" i="4"/>
  <c r="D14" i="4" s="1"/>
  <c r="E14" i="4" s="1"/>
  <c r="D13" i="4"/>
  <c r="E13" i="4" s="1"/>
  <c r="D12" i="4"/>
  <c r="E12" i="4" s="1"/>
  <c r="D11" i="4"/>
  <c r="E11" i="4" s="1"/>
  <c r="D10" i="4"/>
  <c r="E10" i="4" s="1"/>
  <c r="G15" i="4" l="1"/>
  <c r="F15" i="4"/>
  <c r="F14" i="4"/>
  <c r="G14" i="4"/>
  <c r="G13" i="4"/>
  <c r="F13" i="4"/>
  <c r="F12" i="4"/>
  <c r="G12" i="4"/>
  <c r="G11" i="4"/>
  <c r="F11" i="4"/>
  <c r="G10" i="4"/>
  <c r="F10" i="4"/>
</calcChain>
</file>

<file path=xl/sharedStrings.xml><?xml version="1.0" encoding="utf-8"?>
<sst xmlns="http://schemas.openxmlformats.org/spreadsheetml/2006/main" count="379" uniqueCount="218">
  <si>
    <t>IF I HAD ₹10 LAKH — DETAILED CAR COMPARISON</t>
  </si>
  <si>
    <t>Delhi on-road prices • September 2026 • Prices are indicative; dealer discounts can change the final deal.</t>
  </si>
  <si>
    <t>Car</t>
  </si>
  <si>
    <t>Delhi on-road (₹)</t>
  </si>
  <si>
    <t>Deal note</t>
  </si>
  <si>
    <t>Engine</t>
  </si>
  <si>
    <t>Power</t>
  </si>
  <si>
    <t>Torque (Nm)</t>
  </si>
  <si>
    <t>Gearbox</t>
  </si>
  <si>
    <t>ARAI kmpl</t>
  </si>
  <si>
    <t>Tested kmpl</t>
  </si>
  <si>
    <t>Boot (L)</t>
  </si>
  <si>
    <t>GC (mm)</t>
  </si>
  <si>
    <t>Safety rating</t>
  </si>
  <si>
    <t>Safety score</t>
  </si>
  <si>
    <t>Mileage score</t>
  </si>
  <si>
    <t>Performance score</t>
  </si>
  <si>
    <t>Features</t>
  </si>
  <si>
    <t>Best For</t>
  </si>
  <si>
    <t>Maruti Suzuki Baleno Zeta MT</t>
  </si>
  <si>
    <t>~₹9.3L listed; dealer discount may reduce this</t>
  </si>
  <si>
    <t>1.2L NA petrol, 1197cc, 4-cyl</t>
  </si>
  <si>
    <t>5MT</t>
  </si>
  <si>
    <t>4★ Bharat NCAP*</t>
  </si>
  <si>
    <t>6 airbags, ESC, auto climate, rear AC vents, touchscreen, rear camera, push-button start, alloys</t>
  </si>
  <si>
    <t>Best for city efficiency and easy ownership</t>
  </si>
  <si>
    <t>Maruti Suzuki Fronx Delta+ 1.0 Turbo MT</t>
  </si>
  <si>
    <t>~₹10L target with dealer discount</t>
  </si>
  <si>
    <t>1.0L Turbo Boosterjet, 998cc, 3-cyl</t>
  </si>
  <si>
    <t>No India BNCAP rating</t>
  </si>
  <si>
    <t>6 airbags, ESC, LED headlamps, 7-inch touchscreen, wireless Android Auto/Apple CarPlay, alloys</t>
  </si>
  <si>
    <t>Best for a punchier crossover with strong efficiency</t>
  </si>
  <si>
    <t>Škoda Kylaq Signature Turbo MT</t>
  </si>
  <si>
    <t>₹10.56L; target ≤₹10L after discount</t>
  </si>
  <si>
    <t>1.0 TSI turbo petrol, 999cc, 3-cyl</t>
  </si>
  <si>
    <t>6MT</t>
  </si>
  <si>
    <t>5★ Bharat NCAP</t>
  </si>
  <si>
    <t>6 airbags, ESC, TPMS, rain-sensing wipers, electric sunroof, cruise control, auto climate, rear AC vents, air purifier, alloys</t>
  </si>
  <si>
    <t>Best for an enthusiast willing to negotiate/stretch</t>
  </si>
  <si>
    <t>Hyundai Venue HX2 1.0 Turbo MT</t>
  </si>
  <si>
    <t>1.0L Kappa Turbo GDi, 998cc, 3-cyl</t>
  </si>
  <si>
    <t>6 airbags, ESC, 10.25-inch touchscreen, digital cluster, keyless entry, rear AC vents, rear parking sensors</t>
  </si>
  <si>
    <t>Best safety-first turbo option with Hyundai ownership</t>
  </si>
  <si>
    <t>Tata Altroz Creative MT</t>
  </si>
  <si>
    <t>~₹9.3L listed; check dealer offers</t>
  </si>
  <si>
    <t>1.2L NA petrol, 1199cc, 3-cyl</t>
  </si>
  <si>
    <t>6 airbags, ESP, rear camera, auto climate, touchscreen, wireless Android Auto/Apple CarPlay, cruise control, rear AC vents</t>
  </si>
  <si>
    <t>Best hatchback alternative with strong safety</t>
  </si>
  <si>
    <t>Honda Amaze ZX MT</t>
  </si>
  <si>
    <t>₹10.57L listed on-road; current offers/dealer discount can change the final deal</t>
  </si>
  <si>
    <t>1.2L i-VTEC petrol, 1199cc, 4-cyl</t>
  </si>
  <si>
    <t>6 airbags, Honda SENSING ADAS, LaneWatch, rear camera, auto climate, rear AC vents, wireless charging, 8-inch touchscreen, alloys</t>
  </si>
  <si>
    <t>Safety-focused sedan buyer who values ADAS and features</t>
  </si>
  <si>
    <t>Rating note: Safety = official crash-test rating where available. Mileage and Performance scores are editorial ratings, not manufacturer scores.</t>
  </si>
  <si>
    <t>Specification</t>
  </si>
  <si>
    <t>Fuel</t>
  </si>
  <si>
    <t>Petrol</t>
  </si>
  <si>
    <t>Body type</t>
  </si>
  <si>
    <t>Hatchback</t>
  </si>
  <si>
    <t>Crossover SUV</t>
  </si>
  <si>
    <t>Sub-4m SUV</t>
  </si>
  <si>
    <t>Compact sedan</t>
  </si>
  <si>
    <t>1.2L NA</t>
  </si>
  <si>
    <t>1.0L Turbo</t>
  </si>
  <si>
    <t>1.0 TSI Turbo</t>
  </si>
  <si>
    <t>1.0L Turbo GDi</t>
  </si>
  <si>
    <t>1.2L i-VTEC</t>
  </si>
  <si>
    <t>Displacement (cc)</t>
  </si>
  <si>
    <t>Cylinders</t>
  </si>
  <si>
    <t>Transmission</t>
  </si>
  <si>
    <t>ARAI mileage (kmpl)</t>
  </si>
  <si>
    <t>Autocar tested mileage (kmpl)</t>
  </si>
  <si>
    <t>Not found</t>
  </si>
  <si>
    <t>Boot space (L)</t>
  </si>
  <si>
    <t>Fuel tank (L)</t>
  </si>
  <si>
    <t>Ground clearance (mm)</t>
  </si>
  <si>
    <t>Length (mm)</t>
  </si>
  <si>
    <t>~3995</t>
  </si>
  <si>
    <t>Width (mm)</t>
  </si>
  <si>
    <t>~1765</t>
  </si>
  <si>
    <t>Wheelbase (mm)</t>
  </si>
  <si>
    <t>~2520</t>
  </si>
  <si>
    <t>Airbags</t>
  </si>
  <si>
    <t>Bharat NCAP</t>
  </si>
  <si>
    <t>4★*</t>
  </si>
  <si>
    <t>Not tested</t>
  </si>
  <si>
    <t>5★</t>
  </si>
  <si>
    <t>ADAS</t>
  </si>
  <si>
    <t>No</t>
  </si>
  <si>
    <t>Higher Venue variants</t>
  </si>
  <si>
    <t>Yes (Honda SENSING)</t>
  </si>
  <si>
    <t>Sunroof</t>
  </si>
  <si>
    <t>Yes</t>
  </si>
  <si>
    <t>No on HX2</t>
  </si>
  <si>
    <t>Higher Altroz variants</t>
  </si>
  <si>
    <t>Cruise control</t>
  </si>
  <si>
    <t>Variant-dependent</t>
  </si>
  <si>
    <t>Yes (Adaptive Cruise Control)</t>
  </si>
  <si>
    <t>Rear AC vents</t>
  </si>
  <si>
    <t>Feature</t>
  </si>
  <si>
    <t>6 airbags</t>
  </si>
  <si>
    <t>ESC / ESP</t>
  </si>
  <si>
    <t>Factory rear camera</t>
  </si>
  <si>
    <t>TPMS</t>
  </si>
  <si>
    <t>Yes/variant</t>
  </si>
  <si>
    <t>No (HX2)</t>
  </si>
  <si>
    <t>Higher variants</t>
  </si>
  <si>
    <t>Yes (Adaptive)</t>
  </si>
  <si>
    <t>Auto climate</t>
  </si>
  <si>
    <t>Wireless Android Auto/Apple CarPlay</t>
  </si>
  <si>
    <t>Wired on Signature</t>
  </si>
  <si>
    <t>LED headlamps</t>
  </si>
  <si>
    <t>Alloy wheels</t>
  </si>
  <si>
    <t>Yes — Honda SENSING</t>
  </si>
  <si>
    <t>Air purifier</t>
  </si>
  <si>
    <t>5-YEAR FUEL COST CALCULATOR</t>
  </si>
  <si>
    <t>Annual kilometres</t>
  </si>
  <si>
    <t>Petrol price (₹/L)</t>
  </si>
  <si>
    <t>Ownership period (years)</t>
  </si>
  <si>
    <t>Fallback real-world mileage (kmpl)</t>
  </si>
  <si>
    <t>Price (₹)</t>
  </si>
  <si>
    <t>Mileage used</t>
  </si>
  <si>
    <t>Annual fuel cost (₹)</t>
  </si>
  <si>
    <t>5-year fuel cost (₹)</t>
  </si>
  <si>
    <t>5-year price + fuel (₹)</t>
  </si>
  <si>
    <t>Fuel cost premium vs cheapest</t>
  </si>
  <si>
    <t>Method</t>
  </si>
  <si>
    <t>Autocar tested</t>
  </si>
  <si>
    <t>Fallback assumption</t>
  </si>
  <si>
    <t>ARAI (no tested figure)</t>
  </si>
  <si>
    <t>Illustrative only. Fuel cost excludes insurance, financing, depreciation, tyres, repairs and resale. Actual mileage varies by traffic, driving style and AC use.</t>
  </si>
  <si>
    <t>What it does best</t>
  </si>
  <si>
    <t>Who should buy it</t>
  </si>
  <si>
    <t>Biggest compromise</t>
  </si>
  <si>
    <t>Editorial verdict</t>
  </si>
  <si>
    <t>Mileage + easy ownership</t>
  </si>
  <si>
    <t>City-heavy buyer</t>
  </si>
  <si>
    <t>NA engine is least punchy</t>
  </si>
  <si>
    <t>Best sensible choice</t>
  </si>
  <si>
    <t>Turbo + efficiency</t>
  </si>
  <si>
    <t>Buyer wanting a punchier crossover</t>
  </si>
  <si>
    <t>Best balanced turbo</t>
  </si>
  <si>
    <t>Driving dynamics + safety</t>
  </si>
  <si>
    <t>Enthusiast willing to negotiate</t>
  </si>
  <si>
    <t>Real-world city efficiency</t>
  </si>
  <si>
    <t>My pick if ≤₹10L deal</t>
  </si>
  <si>
    <t>Safety + turbo + Hyundai ecosystem</t>
  </si>
  <si>
    <t>Family buyer prioritising safety</t>
  </si>
  <si>
    <t>HX2 is relatively basic on features</t>
  </si>
  <si>
    <t>Strong safety-first alternative</t>
  </si>
  <si>
    <t>Safety + premium hatchback</t>
  </si>
  <si>
    <t>Buyer who prefers a hatchback</t>
  </si>
  <si>
    <t>NA petrol performance</t>
  </si>
  <si>
    <t>Best hatchback alternative</t>
  </si>
  <si>
    <t>Safety + ADAS + sedan practicality</t>
  </si>
  <si>
    <t>Safety-focused buyer wanting a feature-rich sedan</t>
  </si>
  <si>
    <t>NA engine performance and price is slightly above ₹10L</t>
  </si>
  <si>
    <t>Best safety-tech sedan if deal comes close to ₹10L</t>
  </si>
  <si>
    <t>Source</t>
  </si>
  <si>
    <t>URL / reference</t>
  </si>
  <si>
    <t>Used for</t>
  </si>
  <si>
    <t>CarDekho — Baleno Zeta</t>
  </si>
  <si>
    <t>https://www.cardekho.com/overview/Maruti_Baleno/Maruti_Baleno_Zeta.htm</t>
  </si>
  <si>
    <t>Price, engine, mileage, boot, features</t>
  </si>
  <si>
    <t>Autocar — Baleno mileage</t>
  </si>
  <si>
    <t>https://www.autocarindia.com/cars/maruti-suzuki/baleno/mileage</t>
  </si>
  <si>
    <t>ARAI/tested mileage</t>
  </si>
  <si>
    <t>Bharat NCAP — Baleno</t>
  </si>
  <si>
    <t>https://www.bncap.in/vehicle/maruti-baleno-gasoline-6-airbags/</t>
  </si>
  <si>
    <t>Safety rating/applicability</t>
  </si>
  <si>
    <t>CarDekho — Fronx Delta+ Turbo</t>
  </si>
  <si>
    <t>https://www.cardekho.com/overview/Maruti_FRONX/Maruti_FRONX_Delta_Plus_Turbo.htm</t>
  </si>
  <si>
    <t>Price, engine, safety equipment, features</t>
  </si>
  <si>
    <t>Autocar — Fronx mileage</t>
  </si>
  <si>
    <t>https://www.autocarindia.com/cars/maruti-suzuki/fronx/mileage</t>
  </si>
  <si>
    <t>CarDekho — Kylaq Signature</t>
  </si>
  <si>
    <t>https://www.cardekho.com/overview/Skoda_Kylaq/Skoda_Kylaq_Signature.htm</t>
  </si>
  <si>
    <t>Price, engine, mileage, features</t>
  </si>
  <si>
    <t>Autocar — Kylaq mileage/specs</t>
  </si>
  <si>
    <t>https://www.autocarindia.com/cars/skoda/kylaq/mileage</t>
  </si>
  <si>
    <t>Autocar — Kylaq specifications</t>
  </si>
  <si>
    <t>https://www.autocarindia.com/cars/skoda/kylaq/specifications</t>
  </si>
  <si>
    <t>Safety/dimensions</t>
  </si>
  <si>
    <t>User-provided Kylaq screenshot</t>
  </si>
  <si>
    <t>Conversation attachment</t>
  </si>
  <si>
    <t>₹10.56L Delhi on-road price shown</t>
  </si>
  <si>
    <t>Hyundai India — Venue features</t>
  </si>
  <si>
    <t>https://www.hyundai.com/in/en/find-a-car/venue/features</t>
  </si>
  <si>
    <t>Current variant/feature availability</t>
  </si>
  <si>
    <t>CarDekho — Venue HX2 Turbo</t>
  </si>
  <si>
    <t>https://www.cardekho.com/overview/Hyundai_Venue/Hyundai_Venue_HX_2_Turbo.htm</t>
  </si>
  <si>
    <t>Price, engine, mileage</t>
  </si>
  <si>
    <t>Autocar — Venue HX2 Turbo</t>
  </si>
  <si>
    <t>https://www.autocarindia.com/cars/hyundai/venue/hx2-10-turbo-petrol-mt</t>
  </si>
  <si>
    <t>Tested mileage/dimensions</t>
  </si>
  <si>
    <t>Hyundai India — Venue BNCAP</t>
  </si>
  <si>
    <t>https://www.hyundai.com/in/en/hyundai-story/media-center/press-release/venue-venue-n-line-achieve-5star-safety-rating-at-bharatncap</t>
  </si>
  <si>
    <t>5-star BNCAP</t>
  </si>
  <si>
    <t>CarDekho — Altroz Creative</t>
  </si>
  <si>
    <t>https://www.cardekho.com/overview/Tata_Altroz/Tata_Altroz_Creative.htm</t>
  </si>
  <si>
    <t>Price, engine, features</t>
  </si>
  <si>
    <t>Autocar — Altroz mileage</t>
  </si>
  <si>
    <t>https://www.autocarindia.com/cars/tata/altroz/mileage</t>
  </si>
  <si>
    <t>ARAI mileage</t>
  </si>
  <si>
    <t>Bharat NCAP — Altroz</t>
  </si>
  <si>
    <t>https://www.bncap.in/vehicle/tata-altroz/</t>
  </si>
  <si>
    <t>Honda Cars India — Amaze tech specs</t>
  </si>
  <si>
    <t>https://www.hondacarindia.com/honda-amaze/tech-specs</t>
  </si>
  <si>
    <t>Engine, power, torque, mileage, boot, safety/features</t>
  </si>
  <si>
    <t>Bharat NCAP — Honda Amaze 3rd Gen</t>
  </si>
  <si>
    <t>https://www.bncap.in/vehicle/honda-amaze-3rd-gen/</t>
  </si>
  <si>
    <t>5-star safety rating; rating applicability to ZX MT</t>
  </si>
  <si>
    <t>CarDekho — Honda Amaze Delhi price</t>
  </si>
  <si>
    <t>https://www.cardekho.com/honda/amaze/price-in-new-delhi</t>
  </si>
  <si>
    <t>September 2026 Delhi on-road price reference</t>
  </si>
  <si>
    <t>Honda Cars India — Amaze brochure</t>
  </si>
  <si>
    <t>https://www.hondacarindia.com/web-data/brochures/pdfs/All-new%20Amaze%202025_28Nov25.pdf</t>
  </si>
  <si>
    <t>Variant features, dimensions and specifications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</si>
</sst>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5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5A6772"/>
      <name val="Calibri"/>
    </font>
    <font>
      <b/>
      <sz val="11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173F5F"/>
      </patternFill>
    </fill>
    <fill>
      <patternFill patternType="solid">
        <fgColor rgb="FFDFF2E1"/>
      </patternFill>
    </fill>
    <fill>
      <patternFill patternType="solid">
        <fgColor rgb="FFFDE2E2"/>
      </patternFill>
    </fill>
    <fill>
      <patternFill patternType="solid">
        <fgColor rgb="FFFFF1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DCE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0" xfId="0" applyFont="1" applyFill="1" applyAlignment="1">
      <alignment horizont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3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4" fillId="0" borderId="0" xfId="0" applyFont="1"/>
    <xf numFmtId="0" fontId="0" fillId="6" borderId="0" xfId="0" applyFill="1"/>
    <xf numFmtId="164" fontId="0" fillId="0" borderId="0" xfId="0" applyNumberFormat="1" applyAlignment="1">
      <alignment vertical="top" wrapText="1"/>
    </xf>
    <xf numFmtId="0" fontId="3" fillId="2" borderId="0" xfId="0" applyFont="1" applyFill="1"/>
    <xf numFmtId="0" fontId="3" fillId="2" borderId="1" xfId="0" applyFont="1" applyFill="1" applyBorder="1" applyAlignment="1">
      <alignment vertical="top" wrapText="1"/>
    </xf>
    <xf numFmtId="0" fontId="1" fillId="2" borderId="0" xfId="0" applyFont="1" applyFill="1"/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5-Year Fuel Cost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'Ownership Calculator'!$E$9</c:f>
              <c:strCache>
                <c:ptCount val="1"/>
                <c:pt idx="0">
                  <c:v>5-year fuel cost (₹)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'Ownership Calculator'!$A$10:$A$14</c:f>
              <c:strCache>
                <c:ptCount val="5"/>
                <c:pt idx="0">
                  <c:v>Maruti Suzuki Baleno Zeta MT</c:v>
                </c:pt>
                <c:pt idx="1">
                  <c:v>Maruti Suzuki Fronx Delta+ 1.0 Turbo MT</c:v>
                </c:pt>
                <c:pt idx="2">
                  <c:v>Škoda Kylaq Signature Turbo MT</c:v>
                </c:pt>
                <c:pt idx="3">
                  <c:v>Hyundai Venue HX2 1.0 Turbo MT</c:v>
                </c:pt>
                <c:pt idx="4">
                  <c:v>Tata Altroz Creative MT</c:v>
                </c:pt>
              </c:strCache>
            </c:strRef>
          </c:cat>
          <c:val>
            <c:numRef>
              <c:f>'Ownership Calculator'!$E$10:$E$14</c:f>
              <c:numCache>
                <c:formatCode>\₹#,##0</c:formatCode>
                <c:ptCount val="5"/>
                <c:pt idx="0">
                  <c:v>263838.59286083805</c:v>
                </c:pt>
                <c:pt idx="1">
                  <c:v>304477.61194029852</c:v>
                </c:pt>
                <c:pt idx="2">
                  <c:v>396578.53810264386</c:v>
                </c:pt>
                <c:pt idx="3">
                  <c:v>398437.5</c:v>
                </c:pt>
                <c:pt idx="4">
                  <c:v>318750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3-40A2-8B82-99DE6464E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₹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showGridLines="0" tabSelected="1" workbookViewId="0">
      <pane ySplit="4" topLeftCell="A5" activePane="bottomLeft" state="frozen"/>
      <selection pane="bottomLeft" activeCell="A4" sqref="A4"/>
    </sheetView>
  </sheetViews>
  <sheetFormatPr defaultRowHeight="15" x14ac:dyDescent="0.25"/>
  <cols>
    <col min="1" max="1" width="31" customWidth="1"/>
    <col min="2" max="2" width="17" customWidth="1"/>
    <col min="3" max="3" width="30" customWidth="1"/>
    <col min="4" max="4" width="34" customWidth="1"/>
    <col min="5" max="5" width="12" customWidth="1"/>
    <col min="6" max="6" width="14" customWidth="1"/>
    <col min="7" max="7" width="12" customWidth="1"/>
    <col min="8" max="8" width="14" customWidth="1"/>
    <col min="9" max="9" width="15" customWidth="1"/>
    <col min="10" max="11" width="11" customWidth="1"/>
    <col min="12" max="12" width="22" customWidth="1"/>
    <col min="13" max="13" width="13" customWidth="1"/>
    <col min="14" max="14" width="14" customWidth="1"/>
    <col min="15" max="15" width="16" customWidth="1"/>
    <col min="16" max="16" width="42" customWidth="1"/>
    <col min="17" max="17" width="34.140625" customWidth="1"/>
  </cols>
  <sheetData>
    <row r="1" spans="1:17" ht="23.45" customHeight="1" x14ac:dyDescent="0.3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7" x14ac:dyDescent="0.25">
      <c r="A2" s="17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spans="1:17" ht="29.1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</row>
    <row r="5" spans="1:17" ht="43.5" customHeight="1" x14ac:dyDescent="0.25">
      <c r="A5" s="2" t="s">
        <v>19</v>
      </c>
      <c r="B5" s="3">
        <v>929518</v>
      </c>
      <c r="C5" s="2" t="s">
        <v>20</v>
      </c>
      <c r="D5" s="2" t="s">
        <v>21</v>
      </c>
      <c r="E5" s="2">
        <v>88.5</v>
      </c>
      <c r="F5" s="2">
        <v>113</v>
      </c>
      <c r="G5" s="2" t="s">
        <v>22</v>
      </c>
      <c r="H5" s="2">
        <v>22.35</v>
      </c>
      <c r="I5" s="2">
        <v>19.329999999999998</v>
      </c>
      <c r="J5" s="2">
        <v>318</v>
      </c>
      <c r="K5" s="2">
        <v>170</v>
      </c>
      <c r="L5" s="2" t="s">
        <v>23</v>
      </c>
      <c r="M5" s="2">
        <v>4</v>
      </c>
      <c r="N5" s="2">
        <v>5</v>
      </c>
      <c r="O5" s="2">
        <v>3</v>
      </c>
      <c r="P5" s="2" t="s">
        <v>24</v>
      </c>
      <c r="Q5" s="2" t="s">
        <v>25</v>
      </c>
    </row>
    <row r="6" spans="1:17" ht="43.5" customHeight="1" x14ac:dyDescent="0.25">
      <c r="A6" s="2" t="s">
        <v>26</v>
      </c>
      <c r="B6" s="3">
        <v>1036192</v>
      </c>
      <c r="C6" s="2" t="s">
        <v>27</v>
      </c>
      <c r="D6" s="2" t="s">
        <v>28</v>
      </c>
      <c r="E6" s="2">
        <v>98.69</v>
      </c>
      <c r="F6" s="2">
        <v>147.6</v>
      </c>
      <c r="G6" s="2" t="s">
        <v>22</v>
      </c>
      <c r="H6" s="2">
        <v>21.5</v>
      </c>
      <c r="I6" s="2">
        <v>16.75</v>
      </c>
      <c r="J6" s="2">
        <v>308</v>
      </c>
      <c r="K6" s="2">
        <v>190</v>
      </c>
      <c r="L6" s="2" t="s">
        <v>29</v>
      </c>
      <c r="M6" s="2"/>
      <c r="N6" s="2">
        <v>4.5</v>
      </c>
      <c r="O6" s="2">
        <v>4</v>
      </c>
      <c r="P6" s="2" t="s">
        <v>30</v>
      </c>
      <c r="Q6" s="2" t="s">
        <v>31</v>
      </c>
    </row>
    <row r="7" spans="1:17" ht="43.5" customHeight="1" x14ac:dyDescent="0.25">
      <c r="A7" s="2" t="s">
        <v>32</v>
      </c>
      <c r="B7" s="3">
        <v>1055607</v>
      </c>
      <c r="C7" s="2" t="s">
        <v>33</v>
      </c>
      <c r="D7" s="2" t="s">
        <v>34</v>
      </c>
      <c r="E7" s="2">
        <v>114</v>
      </c>
      <c r="F7" s="2">
        <v>178</v>
      </c>
      <c r="G7" s="2" t="s">
        <v>35</v>
      </c>
      <c r="H7" s="2">
        <v>19.68</v>
      </c>
      <c r="I7" s="2">
        <v>12.86</v>
      </c>
      <c r="J7" s="2">
        <v>360</v>
      </c>
      <c r="K7" s="2">
        <v>189</v>
      </c>
      <c r="L7" s="2" t="s">
        <v>36</v>
      </c>
      <c r="M7" s="2">
        <v>5</v>
      </c>
      <c r="N7" s="2">
        <v>3</v>
      </c>
      <c r="O7" s="2">
        <v>5</v>
      </c>
      <c r="P7" s="2" t="s">
        <v>37</v>
      </c>
      <c r="Q7" s="2" t="s">
        <v>38</v>
      </c>
    </row>
    <row r="8" spans="1:17" ht="43.5" customHeight="1" x14ac:dyDescent="0.25">
      <c r="A8" s="2" t="s">
        <v>39</v>
      </c>
      <c r="B8" s="3">
        <v>1022855</v>
      </c>
      <c r="C8" s="2" t="s">
        <v>27</v>
      </c>
      <c r="D8" s="2" t="s">
        <v>40</v>
      </c>
      <c r="E8" s="2">
        <v>118</v>
      </c>
      <c r="F8" s="2">
        <v>172</v>
      </c>
      <c r="G8" s="2" t="s">
        <v>35</v>
      </c>
      <c r="H8" s="2">
        <v>18.739999999999998</v>
      </c>
      <c r="I8" s="2">
        <v>12.8</v>
      </c>
      <c r="J8" s="2">
        <v>375</v>
      </c>
      <c r="K8" s="2">
        <v>190</v>
      </c>
      <c r="L8" s="2" t="s">
        <v>36</v>
      </c>
      <c r="M8" s="2">
        <v>5</v>
      </c>
      <c r="N8" s="2">
        <v>3.5</v>
      </c>
      <c r="O8" s="2">
        <v>4.5</v>
      </c>
      <c r="P8" s="2" t="s">
        <v>41</v>
      </c>
      <c r="Q8" s="2" t="s">
        <v>42</v>
      </c>
    </row>
    <row r="9" spans="1:17" ht="43.5" customHeight="1" x14ac:dyDescent="0.25">
      <c r="A9" s="2" t="s">
        <v>43</v>
      </c>
      <c r="B9" s="3">
        <v>930199</v>
      </c>
      <c r="C9" s="2" t="s">
        <v>44</v>
      </c>
      <c r="D9" s="2" t="s">
        <v>45</v>
      </c>
      <c r="E9" s="2">
        <v>86.79</v>
      </c>
      <c r="F9" s="2">
        <v>115</v>
      </c>
      <c r="G9" s="2" t="s">
        <v>22</v>
      </c>
      <c r="H9" s="2">
        <v>19.329999999999998</v>
      </c>
      <c r="I9" s="2"/>
      <c r="J9" s="2">
        <v>345</v>
      </c>
      <c r="K9" s="2">
        <v>165</v>
      </c>
      <c r="L9" s="2" t="s">
        <v>36</v>
      </c>
      <c r="M9" s="2">
        <v>5</v>
      </c>
      <c r="N9" s="2">
        <v>4</v>
      </c>
      <c r="O9" s="2">
        <v>3</v>
      </c>
      <c r="P9" s="2" t="s">
        <v>46</v>
      </c>
      <c r="Q9" s="2" t="s">
        <v>47</v>
      </c>
    </row>
    <row r="10" spans="1:17" ht="45" x14ac:dyDescent="0.25">
      <c r="A10" s="2" t="s">
        <v>48</v>
      </c>
      <c r="B10" s="3">
        <v>1057000</v>
      </c>
      <c r="C10" s="2" t="s">
        <v>49</v>
      </c>
      <c r="D10" s="2" t="s">
        <v>50</v>
      </c>
      <c r="E10" s="2">
        <v>90</v>
      </c>
      <c r="F10" s="2">
        <v>110</v>
      </c>
      <c r="G10" s="2" t="s">
        <v>22</v>
      </c>
      <c r="H10" s="2">
        <v>18.649999999999999</v>
      </c>
      <c r="I10" s="2"/>
      <c r="J10" s="2">
        <v>416</v>
      </c>
      <c r="K10" s="2">
        <v>172</v>
      </c>
      <c r="L10" s="2" t="s">
        <v>36</v>
      </c>
      <c r="M10" s="2">
        <v>5</v>
      </c>
      <c r="N10" s="2">
        <v>3.5</v>
      </c>
      <c r="O10" s="2">
        <v>3.5</v>
      </c>
      <c r="P10" s="2" t="s">
        <v>51</v>
      </c>
      <c r="Q10" s="2" t="s">
        <v>52</v>
      </c>
    </row>
    <row r="12" spans="1:17" x14ac:dyDescent="0.25">
      <c r="A12" s="16" t="s">
        <v>53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</sheetData>
  <mergeCells count="3">
    <mergeCell ref="A1:P1"/>
    <mergeCell ref="A12:P12"/>
    <mergeCell ref="A2:P2"/>
  </mergeCells>
  <pageMargins left="0.25" right="0.25" top="0.5" bottom="0.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7" width="30" customWidth="1"/>
  </cols>
  <sheetData>
    <row r="1" spans="1:7" ht="29.1" customHeight="1" x14ac:dyDescent="0.25">
      <c r="A1" s="4" t="s">
        <v>54</v>
      </c>
      <c r="B1" s="4" t="s">
        <v>19</v>
      </c>
      <c r="C1" s="4" t="s">
        <v>26</v>
      </c>
      <c r="D1" s="4" t="s">
        <v>32</v>
      </c>
      <c r="E1" s="4" t="s">
        <v>39</v>
      </c>
      <c r="F1" s="4" t="s">
        <v>43</v>
      </c>
      <c r="G1" s="4" t="s">
        <v>48</v>
      </c>
    </row>
    <row r="2" spans="1:7" x14ac:dyDescent="0.25">
      <c r="A2" s="5" t="s">
        <v>55</v>
      </c>
      <c r="B2" s="5" t="s">
        <v>56</v>
      </c>
      <c r="C2" s="5" t="s">
        <v>56</v>
      </c>
      <c r="D2" s="5" t="s">
        <v>56</v>
      </c>
      <c r="E2" s="5" t="s">
        <v>56</v>
      </c>
      <c r="F2" s="5" t="s">
        <v>56</v>
      </c>
      <c r="G2" s="5" t="s">
        <v>56</v>
      </c>
    </row>
    <row r="3" spans="1:7" x14ac:dyDescent="0.25">
      <c r="A3" s="5" t="s">
        <v>57</v>
      </c>
      <c r="B3" s="5" t="s">
        <v>58</v>
      </c>
      <c r="C3" s="5" t="s">
        <v>59</v>
      </c>
      <c r="D3" s="5" t="s">
        <v>60</v>
      </c>
      <c r="E3" s="5" t="s">
        <v>60</v>
      </c>
      <c r="F3" s="5" t="s">
        <v>58</v>
      </c>
      <c r="G3" s="5" t="s">
        <v>61</v>
      </c>
    </row>
    <row r="4" spans="1:7" x14ac:dyDescent="0.25">
      <c r="A4" s="5" t="s">
        <v>5</v>
      </c>
      <c r="B4" s="5" t="s">
        <v>62</v>
      </c>
      <c r="C4" s="5" t="s">
        <v>63</v>
      </c>
      <c r="D4" s="5" t="s">
        <v>64</v>
      </c>
      <c r="E4" s="5" t="s">
        <v>65</v>
      </c>
      <c r="F4" s="5" t="s">
        <v>62</v>
      </c>
      <c r="G4" s="5" t="s">
        <v>66</v>
      </c>
    </row>
    <row r="5" spans="1:7" x14ac:dyDescent="0.25">
      <c r="A5" s="5" t="s">
        <v>67</v>
      </c>
      <c r="B5" s="5">
        <v>1197</v>
      </c>
      <c r="C5" s="5">
        <v>998</v>
      </c>
      <c r="D5" s="5">
        <v>999</v>
      </c>
      <c r="E5" s="5">
        <v>998</v>
      </c>
      <c r="F5" s="5">
        <v>1199</v>
      </c>
      <c r="G5" s="5">
        <v>1199</v>
      </c>
    </row>
    <row r="6" spans="1:7" x14ac:dyDescent="0.25">
      <c r="A6" s="5" t="s">
        <v>68</v>
      </c>
      <c r="B6" s="5">
        <v>4</v>
      </c>
      <c r="C6" s="5">
        <v>3</v>
      </c>
      <c r="D6" s="5">
        <v>3</v>
      </c>
      <c r="E6" s="5">
        <v>3</v>
      </c>
      <c r="F6" s="5">
        <v>3</v>
      </c>
      <c r="G6" s="5">
        <v>4</v>
      </c>
    </row>
    <row r="7" spans="1:7" x14ac:dyDescent="0.25">
      <c r="A7" s="5" t="s">
        <v>6</v>
      </c>
      <c r="B7" s="5">
        <v>88.5</v>
      </c>
      <c r="C7" s="5">
        <v>98.69</v>
      </c>
      <c r="D7" s="5">
        <v>114</v>
      </c>
      <c r="E7" s="5">
        <v>118</v>
      </c>
      <c r="F7" s="5">
        <v>86.79</v>
      </c>
      <c r="G7" s="5">
        <v>90</v>
      </c>
    </row>
    <row r="8" spans="1:7" x14ac:dyDescent="0.25">
      <c r="A8" s="5" t="s">
        <v>7</v>
      </c>
      <c r="B8" s="5">
        <v>113</v>
      </c>
      <c r="C8" s="5">
        <v>147.6</v>
      </c>
      <c r="D8" s="5">
        <v>178</v>
      </c>
      <c r="E8" s="5">
        <v>172</v>
      </c>
      <c r="F8" s="5">
        <v>115</v>
      </c>
      <c r="G8" s="5">
        <v>110</v>
      </c>
    </row>
    <row r="9" spans="1:7" x14ac:dyDescent="0.25">
      <c r="A9" s="5" t="s">
        <v>69</v>
      </c>
      <c r="B9" s="5" t="s">
        <v>22</v>
      </c>
      <c r="C9" s="5" t="s">
        <v>22</v>
      </c>
      <c r="D9" s="5" t="s">
        <v>35</v>
      </c>
      <c r="E9" s="5" t="s">
        <v>35</v>
      </c>
      <c r="F9" s="5" t="s">
        <v>22</v>
      </c>
      <c r="G9" s="5" t="s">
        <v>22</v>
      </c>
    </row>
    <row r="10" spans="1:7" x14ac:dyDescent="0.25">
      <c r="A10" s="5" t="s">
        <v>70</v>
      </c>
      <c r="B10" s="5">
        <v>22.35</v>
      </c>
      <c r="C10" s="5">
        <v>21.5</v>
      </c>
      <c r="D10" s="5">
        <v>19.68</v>
      </c>
      <c r="E10" s="5">
        <v>18.739999999999998</v>
      </c>
      <c r="F10" s="5">
        <v>19.329999999999998</v>
      </c>
      <c r="G10" s="5">
        <v>18.649999999999999</v>
      </c>
    </row>
    <row r="11" spans="1:7" x14ac:dyDescent="0.25">
      <c r="A11" s="5" t="s">
        <v>71</v>
      </c>
      <c r="B11" s="5">
        <v>19.329999999999998</v>
      </c>
      <c r="C11" s="5">
        <v>16.75</v>
      </c>
      <c r="D11" s="5">
        <v>12.86</v>
      </c>
      <c r="E11" s="5">
        <v>12.8</v>
      </c>
      <c r="F11" s="5" t="s">
        <v>72</v>
      </c>
      <c r="G11" s="5" t="s">
        <v>72</v>
      </c>
    </row>
    <row r="12" spans="1:7" x14ac:dyDescent="0.25">
      <c r="A12" s="5" t="s">
        <v>73</v>
      </c>
      <c r="B12" s="5">
        <v>318</v>
      </c>
      <c r="C12" s="5">
        <v>308</v>
      </c>
      <c r="D12" s="5">
        <v>360</v>
      </c>
      <c r="E12" s="5">
        <v>375</v>
      </c>
      <c r="F12" s="5">
        <v>345</v>
      </c>
      <c r="G12" s="5">
        <v>416</v>
      </c>
    </row>
    <row r="13" spans="1:7" x14ac:dyDescent="0.25">
      <c r="A13" s="5" t="s">
        <v>74</v>
      </c>
      <c r="B13" s="5">
        <v>37</v>
      </c>
      <c r="C13" s="5">
        <v>37</v>
      </c>
      <c r="D13" s="5">
        <v>45</v>
      </c>
      <c r="E13" s="5">
        <v>45</v>
      </c>
      <c r="F13" s="5">
        <v>37</v>
      </c>
      <c r="G13" s="5">
        <v>35</v>
      </c>
    </row>
    <row r="14" spans="1:7" x14ac:dyDescent="0.25">
      <c r="A14" s="5" t="s">
        <v>75</v>
      </c>
      <c r="B14" s="5">
        <v>170</v>
      </c>
      <c r="C14" s="5">
        <v>190</v>
      </c>
      <c r="D14" s="5">
        <v>189</v>
      </c>
      <c r="E14" s="5">
        <v>190</v>
      </c>
      <c r="F14" s="5">
        <v>165</v>
      </c>
      <c r="G14" s="5">
        <v>172</v>
      </c>
    </row>
    <row r="15" spans="1:7" x14ac:dyDescent="0.25">
      <c r="A15" s="5" t="s">
        <v>76</v>
      </c>
      <c r="B15" s="5">
        <v>3990</v>
      </c>
      <c r="C15" s="5" t="s">
        <v>77</v>
      </c>
      <c r="D15" s="5">
        <v>3995</v>
      </c>
      <c r="E15" s="5">
        <v>3995</v>
      </c>
      <c r="F15" s="5">
        <v>3990</v>
      </c>
      <c r="G15" s="5">
        <v>3995</v>
      </c>
    </row>
    <row r="16" spans="1:7" x14ac:dyDescent="0.25">
      <c r="A16" s="5" t="s">
        <v>78</v>
      </c>
      <c r="B16" s="5">
        <v>1745</v>
      </c>
      <c r="C16" s="5" t="s">
        <v>79</v>
      </c>
      <c r="D16" s="5">
        <v>1783</v>
      </c>
      <c r="E16" s="5">
        <v>1800</v>
      </c>
      <c r="F16" s="5">
        <v>1755</v>
      </c>
      <c r="G16" s="5">
        <v>1733</v>
      </c>
    </row>
    <row r="17" spans="1:7" x14ac:dyDescent="0.25">
      <c r="A17" s="5" t="s">
        <v>80</v>
      </c>
      <c r="B17" s="5">
        <v>2520</v>
      </c>
      <c r="C17" s="5" t="s">
        <v>81</v>
      </c>
      <c r="D17" s="5">
        <v>2566</v>
      </c>
      <c r="E17" s="5">
        <v>2520</v>
      </c>
      <c r="F17" s="5">
        <v>2501</v>
      </c>
      <c r="G17" s="5">
        <v>2470</v>
      </c>
    </row>
    <row r="18" spans="1:7" x14ac:dyDescent="0.25">
      <c r="A18" s="5" t="s">
        <v>82</v>
      </c>
      <c r="B18" s="5">
        <v>6</v>
      </c>
      <c r="C18" s="5">
        <v>6</v>
      </c>
      <c r="D18" s="5">
        <v>6</v>
      </c>
      <c r="E18" s="5">
        <v>6</v>
      </c>
      <c r="F18" s="5">
        <v>6</v>
      </c>
      <c r="G18" s="5">
        <v>6</v>
      </c>
    </row>
    <row r="19" spans="1:7" x14ac:dyDescent="0.25">
      <c r="A19" s="5" t="s">
        <v>83</v>
      </c>
      <c r="B19" s="5" t="s">
        <v>84</v>
      </c>
      <c r="C19" s="5" t="s">
        <v>85</v>
      </c>
      <c r="D19" s="5" t="s">
        <v>86</v>
      </c>
      <c r="E19" s="5" t="s">
        <v>86</v>
      </c>
      <c r="F19" s="5" t="s">
        <v>86</v>
      </c>
      <c r="G19" s="5" t="s">
        <v>86</v>
      </c>
    </row>
    <row r="20" spans="1:7" x14ac:dyDescent="0.25">
      <c r="A20" s="5" t="s">
        <v>87</v>
      </c>
      <c r="B20" s="5" t="s">
        <v>88</v>
      </c>
      <c r="C20" s="5" t="s">
        <v>88</v>
      </c>
      <c r="D20" s="5" t="s">
        <v>88</v>
      </c>
      <c r="E20" s="5" t="s">
        <v>89</v>
      </c>
      <c r="F20" s="5" t="s">
        <v>88</v>
      </c>
      <c r="G20" s="5" t="s">
        <v>90</v>
      </c>
    </row>
    <row r="21" spans="1:7" x14ac:dyDescent="0.25">
      <c r="A21" s="5" t="s">
        <v>91</v>
      </c>
      <c r="B21" s="5" t="s">
        <v>88</v>
      </c>
      <c r="C21" s="5" t="s">
        <v>88</v>
      </c>
      <c r="D21" s="5" t="s">
        <v>92</v>
      </c>
      <c r="E21" s="5" t="s">
        <v>93</v>
      </c>
      <c r="F21" s="5" t="s">
        <v>94</v>
      </c>
      <c r="G21" s="5" t="s">
        <v>88</v>
      </c>
    </row>
    <row r="22" spans="1:7" x14ac:dyDescent="0.25">
      <c r="A22" s="5" t="s">
        <v>95</v>
      </c>
      <c r="B22" s="5" t="s">
        <v>92</v>
      </c>
      <c r="C22" s="5" t="s">
        <v>96</v>
      </c>
      <c r="D22" s="5" t="s">
        <v>92</v>
      </c>
      <c r="E22" s="5" t="s">
        <v>93</v>
      </c>
      <c r="F22" s="5" t="s">
        <v>92</v>
      </c>
      <c r="G22" s="5" t="s">
        <v>97</v>
      </c>
    </row>
    <row r="23" spans="1:7" x14ac:dyDescent="0.25">
      <c r="A23" s="5" t="s">
        <v>98</v>
      </c>
      <c r="B23" s="5" t="s">
        <v>92</v>
      </c>
      <c r="C23" s="5" t="s">
        <v>92</v>
      </c>
      <c r="D23" s="5" t="s">
        <v>92</v>
      </c>
      <c r="E23" s="5" t="s">
        <v>92</v>
      </c>
      <c r="F23" s="5" t="s">
        <v>92</v>
      </c>
      <c r="G23" s="5" t="s">
        <v>92</v>
      </c>
    </row>
  </sheetData>
  <pageMargins left="0.25" right="0.25" top="0.5" bottom="0.5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4" customWidth="1"/>
    <col min="2" max="7" width="30" customWidth="1"/>
  </cols>
  <sheetData>
    <row r="1" spans="1:7" ht="29.1" customHeight="1" x14ac:dyDescent="0.25">
      <c r="A1" s="6" t="s">
        <v>99</v>
      </c>
      <c r="B1" s="6" t="s">
        <v>19</v>
      </c>
      <c r="C1" s="6" t="s">
        <v>26</v>
      </c>
      <c r="D1" s="6" t="s">
        <v>32</v>
      </c>
      <c r="E1" s="6" t="s">
        <v>39</v>
      </c>
      <c r="F1" s="6" t="s">
        <v>43</v>
      </c>
      <c r="G1" s="6" t="s">
        <v>48</v>
      </c>
    </row>
    <row r="2" spans="1:7" x14ac:dyDescent="0.25">
      <c r="A2" s="5" t="s">
        <v>100</v>
      </c>
      <c r="B2" s="7" t="s">
        <v>92</v>
      </c>
      <c r="C2" s="7" t="s">
        <v>92</v>
      </c>
      <c r="D2" s="7" t="s">
        <v>92</v>
      </c>
      <c r="E2" s="7" t="s">
        <v>92</v>
      </c>
      <c r="F2" s="7" t="s">
        <v>92</v>
      </c>
      <c r="G2" s="7" t="s">
        <v>92</v>
      </c>
    </row>
    <row r="3" spans="1:7" x14ac:dyDescent="0.25">
      <c r="A3" s="5" t="s">
        <v>101</v>
      </c>
      <c r="B3" s="7" t="s">
        <v>92</v>
      </c>
      <c r="C3" s="7" t="s">
        <v>92</v>
      </c>
      <c r="D3" s="7" t="s">
        <v>92</v>
      </c>
      <c r="E3" s="7" t="s">
        <v>92</v>
      </c>
      <c r="F3" s="7" t="s">
        <v>92</v>
      </c>
      <c r="G3" s="7" t="s">
        <v>92</v>
      </c>
    </row>
    <row r="4" spans="1:7" x14ac:dyDescent="0.25">
      <c r="A4" s="5" t="s">
        <v>83</v>
      </c>
      <c r="B4" s="7" t="s">
        <v>84</v>
      </c>
      <c r="C4" s="8" t="s">
        <v>85</v>
      </c>
      <c r="D4" s="7" t="s">
        <v>86</v>
      </c>
      <c r="E4" s="7" t="s">
        <v>86</v>
      </c>
      <c r="F4" s="7" t="s">
        <v>86</v>
      </c>
      <c r="G4" s="7" t="s">
        <v>86</v>
      </c>
    </row>
    <row r="5" spans="1:7" x14ac:dyDescent="0.25">
      <c r="A5" s="5" t="s">
        <v>102</v>
      </c>
      <c r="B5" s="7" t="s">
        <v>92</v>
      </c>
      <c r="C5" s="7" t="s">
        <v>92</v>
      </c>
      <c r="D5" s="8" t="s">
        <v>88</v>
      </c>
      <c r="E5" s="8" t="s">
        <v>88</v>
      </c>
      <c r="F5" s="7" t="s">
        <v>92</v>
      </c>
      <c r="G5" s="7" t="s">
        <v>92</v>
      </c>
    </row>
    <row r="6" spans="1:7" x14ac:dyDescent="0.25">
      <c r="A6" s="5" t="s">
        <v>103</v>
      </c>
      <c r="B6" s="5" t="s">
        <v>96</v>
      </c>
      <c r="C6" s="8" t="s">
        <v>88</v>
      </c>
      <c r="D6" s="7" t="s">
        <v>92</v>
      </c>
      <c r="E6" s="7" t="s">
        <v>104</v>
      </c>
      <c r="F6" s="7" t="s">
        <v>92</v>
      </c>
      <c r="G6" s="7" t="s">
        <v>92</v>
      </c>
    </row>
    <row r="7" spans="1:7" x14ac:dyDescent="0.25">
      <c r="A7" s="5" t="s">
        <v>91</v>
      </c>
      <c r="B7" s="8" t="s">
        <v>88</v>
      </c>
      <c r="C7" s="8" t="s">
        <v>88</v>
      </c>
      <c r="D7" s="7" t="s">
        <v>92</v>
      </c>
      <c r="E7" s="8" t="s">
        <v>105</v>
      </c>
      <c r="F7" s="5" t="s">
        <v>106</v>
      </c>
      <c r="G7" s="5" t="s">
        <v>88</v>
      </c>
    </row>
    <row r="8" spans="1:7" x14ac:dyDescent="0.25">
      <c r="A8" s="5" t="s">
        <v>95</v>
      </c>
      <c r="B8" s="7" t="s">
        <v>92</v>
      </c>
      <c r="C8" s="5" t="s">
        <v>96</v>
      </c>
      <c r="D8" s="7" t="s">
        <v>92</v>
      </c>
      <c r="E8" s="8" t="s">
        <v>105</v>
      </c>
      <c r="F8" s="7" t="s">
        <v>92</v>
      </c>
      <c r="G8" s="7" t="s">
        <v>107</v>
      </c>
    </row>
    <row r="9" spans="1:7" x14ac:dyDescent="0.25">
      <c r="A9" s="5" t="s">
        <v>108</v>
      </c>
      <c r="B9" s="7" t="s">
        <v>92</v>
      </c>
      <c r="C9" s="7" t="s">
        <v>92</v>
      </c>
      <c r="D9" s="7" t="s">
        <v>92</v>
      </c>
      <c r="E9" s="8" t="s">
        <v>105</v>
      </c>
      <c r="F9" s="7" t="s">
        <v>92</v>
      </c>
      <c r="G9" s="7" t="s">
        <v>92</v>
      </c>
    </row>
    <row r="10" spans="1:7" x14ac:dyDescent="0.25">
      <c r="A10" s="5" t="s">
        <v>98</v>
      </c>
      <c r="B10" s="7" t="s">
        <v>92</v>
      </c>
      <c r="C10" s="7" t="s">
        <v>92</v>
      </c>
      <c r="D10" s="7" t="s">
        <v>92</v>
      </c>
      <c r="E10" s="7" t="s">
        <v>92</v>
      </c>
      <c r="F10" s="7" t="s">
        <v>92</v>
      </c>
      <c r="G10" s="7" t="s">
        <v>92</v>
      </c>
    </row>
    <row r="11" spans="1:7" ht="30" x14ac:dyDescent="0.25">
      <c r="A11" s="5" t="s">
        <v>109</v>
      </c>
      <c r="B11" s="7" t="s">
        <v>92</v>
      </c>
      <c r="C11" s="7" t="s">
        <v>92</v>
      </c>
      <c r="D11" s="5" t="s">
        <v>110</v>
      </c>
      <c r="E11" s="7" t="s">
        <v>92</v>
      </c>
      <c r="F11" s="7" t="s">
        <v>92</v>
      </c>
      <c r="G11" s="7" t="s">
        <v>92</v>
      </c>
    </row>
    <row r="12" spans="1:7" x14ac:dyDescent="0.25">
      <c r="A12" s="5" t="s">
        <v>111</v>
      </c>
      <c r="B12" s="7" t="s">
        <v>92</v>
      </c>
      <c r="C12" s="7" t="s">
        <v>92</v>
      </c>
      <c r="D12" s="7" t="s">
        <v>92</v>
      </c>
      <c r="E12" s="5" t="s">
        <v>96</v>
      </c>
      <c r="F12" s="5" t="s">
        <v>106</v>
      </c>
      <c r="G12" s="5" t="s">
        <v>92</v>
      </c>
    </row>
    <row r="13" spans="1:7" x14ac:dyDescent="0.25">
      <c r="A13" s="5" t="s">
        <v>112</v>
      </c>
      <c r="B13" s="7" t="s">
        <v>92</v>
      </c>
      <c r="C13" s="7" t="s">
        <v>92</v>
      </c>
      <c r="D13" s="7" t="s">
        <v>92</v>
      </c>
      <c r="E13" s="8" t="s">
        <v>93</v>
      </c>
      <c r="F13" s="5" t="s">
        <v>106</v>
      </c>
      <c r="G13" s="5" t="s">
        <v>92</v>
      </c>
    </row>
    <row r="14" spans="1:7" x14ac:dyDescent="0.25">
      <c r="A14" s="5" t="s">
        <v>87</v>
      </c>
      <c r="B14" s="8" t="s">
        <v>88</v>
      </c>
      <c r="C14" s="8" t="s">
        <v>88</v>
      </c>
      <c r="D14" s="8" t="s">
        <v>88</v>
      </c>
      <c r="E14" s="5" t="s">
        <v>106</v>
      </c>
      <c r="F14" s="8" t="s">
        <v>88</v>
      </c>
      <c r="G14" s="8" t="s">
        <v>113</v>
      </c>
    </row>
    <row r="15" spans="1:7" x14ac:dyDescent="0.25">
      <c r="A15" s="5" t="s">
        <v>114</v>
      </c>
      <c r="B15" s="8" t="s">
        <v>88</v>
      </c>
      <c r="C15" s="8" t="s">
        <v>88</v>
      </c>
      <c r="D15" s="7" t="s">
        <v>92</v>
      </c>
      <c r="E15" s="8" t="s">
        <v>88</v>
      </c>
      <c r="F15" s="7" t="s">
        <v>92</v>
      </c>
      <c r="G15" s="7" t="s">
        <v>88</v>
      </c>
    </row>
  </sheetData>
  <pageMargins left="0.25" right="0.25" top="0.5" bottom="0.5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showGridLines="0" workbookViewId="0">
      <selection sqref="A1:H1"/>
    </sheetView>
  </sheetViews>
  <sheetFormatPr defaultRowHeight="15" x14ac:dyDescent="0.25"/>
  <cols>
    <col min="1" max="1" width="31" customWidth="1"/>
    <col min="2" max="3" width="17" customWidth="1"/>
    <col min="4" max="5" width="22" customWidth="1"/>
    <col min="6" max="7" width="26" customWidth="1"/>
    <col min="8" max="8" width="22" customWidth="1"/>
  </cols>
  <sheetData>
    <row r="1" spans="1:8" ht="23.45" customHeight="1" x14ac:dyDescent="0.35">
      <c r="A1" s="14" t="s">
        <v>115</v>
      </c>
      <c r="B1" s="15"/>
      <c r="C1" s="15"/>
      <c r="D1" s="15"/>
      <c r="E1" s="15"/>
      <c r="F1" s="15"/>
      <c r="G1" s="15"/>
      <c r="H1" s="15"/>
    </row>
    <row r="3" spans="1:8" x14ac:dyDescent="0.25">
      <c r="A3" s="9" t="s">
        <v>116</v>
      </c>
      <c r="B3" s="10">
        <v>10000</v>
      </c>
    </row>
    <row r="4" spans="1:8" x14ac:dyDescent="0.25">
      <c r="A4" s="9" t="s">
        <v>117</v>
      </c>
      <c r="B4" s="10">
        <v>102</v>
      </c>
    </row>
    <row r="5" spans="1:8" x14ac:dyDescent="0.25">
      <c r="A5" s="9" t="s">
        <v>118</v>
      </c>
      <c r="B5" s="10">
        <v>5</v>
      </c>
    </row>
    <row r="6" spans="1:8" x14ac:dyDescent="0.25">
      <c r="A6" s="9" t="s">
        <v>119</v>
      </c>
      <c r="B6" s="10">
        <v>16</v>
      </c>
    </row>
    <row r="9" spans="1:8" ht="29.1" customHeight="1" x14ac:dyDescent="0.25">
      <c r="A9" s="6" t="s">
        <v>2</v>
      </c>
      <c r="B9" s="6" t="s">
        <v>120</v>
      </c>
      <c r="C9" s="6" t="s">
        <v>121</v>
      </c>
      <c r="D9" s="6" t="s">
        <v>122</v>
      </c>
      <c r="E9" s="6" t="s">
        <v>123</v>
      </c>
      <c r="F9" s="6" t="s">
        <v>124</v>
      </c>
      <c r="G9" s="6" t="s">
        <v>125</v>
      </c>
      <c r="H9" s="6" t="s">
        <v>126</v>
      </c>
    </row>
    <row r="10" spans="1:8" x14ac:dyDescent="0.25">
      <c r="A10" s="5" t="s">
        <v>19</v>
      </c>
      <c r="B10" s="11">
        <v>929518</v>
      </c>
      <c r="C10" s="5">
        <v>19.329999999999998</v>
      </c>
      <c r="D10" s="11">
        <f t="shared" ref="D10:D15" si="0">($B$3/C10)*$B$4</f>
        <v>52767.718572167614</v>
      </c>
      <c r="E10" s="11">
        <f t="shared" ref="E10:E15" si="1">D10*$B$5</f>
        <v>263838.59286083805</v>
      </c>
      <c r="F10" s="11">
        <f t="shared" ref="F10:F15" si="2">B10+E10</f>
        <v>1193356.5928608379</v>
      </c>
      <c r="G10" s="11">
        <f t="shared" ref="G10:G15" si="3">E10-MIN($E$10:$E$15)</f>
        <v>0</v>
      </c>
      <c r="H10" s="5" t="s">
        <v>127</v>
      </c>
    </row>
    <row r="11" spans="1:8" ht="29.1" customHeight="1" x14ac:dyDescent="0.25">
      <c r="A11" s="5" t="s">
        <v>26</v>
      </c>
      <c r="B11" s="11">
        <v>1036192</v>
      </c>
      <c r="C11" s="5">
        <v>16.75</v>
      </c>
      <c r="D11" s="11">
        <f t="shared" si="0"/>
        <v>60895.522388059704</v>
      </c>
      <c r="E11" s="11">
        <f t="shared" si="1"/>
        <v>304477.61194029852</v>
      </c>
      <c r="F11" s="11">
        <f t="shared" si="2"/>
        <v>1340669.6119402985</v>
      </c>
      <c r="G11" s="11">
        <f t="shared" si="3"/>
        <v>40639.019079460471</v>
      </c>
      <c r="H11" s="5" t="s">
        <v>127</v>
      </c>
    </row>
    <row r="12" spans="1:8" x14ac:dyDescent="0.25">
      <c r="A12" s="5" t="s">
        <v>32</v>
      </c>
      <c r="B12" s="11">
        <v>1055607</v>
      </c>
      <c r="C12" s="5">
        <v>12.86</v>
      </c>
      <c r="D12" s="11">
        <f t="shared" si="0"/>
        <v>79315.707620528774</v>
      </c>
      <c r="E12" s="11">
        <f t="shared" si="1"/>
        <v>396578.53810264386</v>
      </c>
      <c r="F12" s="11">
        <f t="shared" si="2"/>
        <v>1452185.5381026438</v>
      </c>
      <c r="G12" s="11">
        <f t="shared" si="3"/>
        <v>132739.94524180581</v>
      </c>
      <c r="H12" s="5" t="s">
        <v>127</v>
      </c>
    </row>
    <row r="13" spans="1:8" x14ac:dyDescent="0.25">
      <c r="A13" s="5" t="s">
        <v>39</v>
      </c>
      <c r="B13" s="11">
        <v>1022855</v>
      </c>
      <c r="C13" s="5">
        <v>12.8</v>
      </c>
      <c r="D13" s="11">
        <f t="shared" si="0"/>
        <v>79687.5</v>
      </c>
      <c r="E13" s="11">
        <f t="shared" si="1"/>
        <v>398437.5</v>
      </c>
      <c r="F13" s="11">
        <f t="shared" si="2"/>
        <v>1421292.5</v>
      </c>
      <c r="G13" s="11">
        <f t="shared" si="3"/>
        <v>134598.90713916195</v>
      </c>
      <c r="H13" s="5" t="s">
        <v>127</v>
      </c>
    </row>
    <row r="14" spans="1:8" x14ac:dyDescent="0.25">
      <c r="A14" s="5" t="s">
        <v>43</v>
      </c>
      <c r="B14" s="11">
        <v>930199</v>
      </c>
      <c r="C14" s="5">
        <f>$B$6</f>
        <v>16</v>
      </c>
      <c r="D14" s="11">
        <f t="shared" si="0"/>
        <v>63750</v>
      </c>
      <c r="E14" s="11">
        <f t="shared" si="1"/>
        <v>318750</v>
      </c>
      <c r="F14" s="11">
        <f t="shared" si="2"/>
        <v>1248949</v>
      </c>
      <c r="G14" s="11">
        <f t="shared" si="3"/>
        <v>54911.407139161951</v>
      </c>
      <c r="H14" s="5" t="s">
        <v>128</v>
      </c>
    </row>
    <row r="15" spans="1:8" x14ac:dyDescent="0.25">
      <c r="A15" s="5" t="s">
        <v>48</v>
      </c>
      <c r="B15" s="11">
        <v>1057000</v>
      </c>
      <c r="C15" s="5">
        <v>18.649999999999999</v>
      </c>
      <c r="D15" s="11">
        <f t="shared" si="0"/>
        <v>54691.689008042908</v>
      </c>
      <c r="E15" s="11">
        <f t="shared" si="1"/>
        <v>273458.44504021452</v>
      </c>
      <c r="F15" s="11">
        <f t="shared" si="2"/>
        <v>1330458.4450402146</v>
      </c>
      <c r="G15" s="11">
        <f t="shared" si="3"/>
        <v>9619.8521793764667</v>
      </c>
      <c r="H15" s="5" t="s">
        <v>129</v>
      </c>
    </row>
    <row r="18" spans="1:8" x14ac:dyDescent="0.25">
      <c r="A18" s="16" t="s">
        <v>130</v>
      </c>
      <c r="B18" s="15"/>
      <c r="C18" s="15"/>
      <c r="D18" s="15"/>
      <c r="E18" s="15"/>
      <c r="F18" s="15"/>
      <c r="G18" s="15"/>
      <c r="H18" s="15"/>
    </row>
  </sheetData>
  <mergeCells count="2">
    <mergeCell ref="A18:H18"/>
    <mergeCell ref="A1:H1"/>
  </mergeCells>
  <pageMargins left="0.25" right="0.25" top="0.5" bottom="0.5" header="0.5" footer="0.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showGridLines="0" workbookViewId="0">
      <pane ySplit="1" topLeftCell="A2" activePane="bottomLeft" state="frozen"/>
      <selection pane="bottomLeft" sqref="A1:E7"/>
    </sheetView>
  </sheetViews>
  <sheetFormatPr defaultRowHeight="15" x14ac:dyDescent="0.25"/>
  <cols>
    <col min="1" max="1" width="34" customWidth="1"/>
    <col min="2" max="5" width="36" customWidth="1"/>
  </cols>
  <sheetData>
    <row r="1" spans="1:5" x14ac:dyDescent="0.25">
      <c r="A1" s="12" t="s">
        <v>2</v>
      </c>
      <c r="B1" s="12" t="s">
        <v>131</v>
      </c>
      <c r="C1" s="12" t="s">
        <v>132</v>
      </c>
      <c r="D1" s="12" t="s">
        <v>133</v>
      </c>
      <c r="E1" s="12" t="s">
        <v>134</v>
      </c>
    </row>
    <row r="2" spans="1:5" x14ac:dyDescent="0.25">
      <c r="A2" s="2" t="s">
        <v>19</v>
      </c>
      <c r="B2" s="2" t="s">
        <v>135</v>
      </c>
      <c r="C2" s="2" t="s">
        <v>136</v>
      </c>
      <c r="D2" s="2" t="s">
        <v>137</v>
      </c>
      <c r="E2" s="2" t="s">
        <v>138</v>
      </c>
    </row>
    <row r="3" spans="1:5" ht="29.1" customHeight="1" x14ac:dyDescent="0.25">
      <c r="A3" s="2" t="s">
        <v>26</v>
      </c>
      <c r="B3" s="2" t="s">
        <v>139</v>
      </c>
      <c r="C3" s="2" t="s">
        <v>140</v>
      </c>
      <c r="D3" s="2" t="s">
        <v>29</v>
      </c>
      <c r="E3" s="2" t="s">
        <v>141</v>
      </c>
    </row>
    <row r="4" spans="1:5" x14ac:dyDescent="0.25">
      <c r="A4" s="2" t="s">
        <v>32</v>
      </c>
      <c r="B4" s="2" t="s">
        <v>142</v>
      </c>
      <c r="C4" s="2" t="s">
        <v>143</v>
      </c>
      <c r="D4" s="2" t="s">
        <v>144</v>
      </c>
      <c r="E4" s="2" t="s">
        <v>145</v>
      </c>
    </row>
    <row r="5" spans="1:5" x14ac:dyDescent="0.25">
      <c r="A5" s="2" t="s">
        <v>39</v>
      </c>
      <c r="B5" s="2" t="s">
        <v>146</v>
      </c>
      <c r="C5" s="2" t="s">
        <v>147</v>
      </c>
      <c r="D5" s="2" t="s">
        <v>148</v>
      </c>
      <c r="E5" s="2" t="s">
        <v>149</v>
      </c>
    </row>
    <row r="6" spans="1:5" x14ac:dyDescent="0.25">
      <c r="A6" s="2" t="s">
        <v>43</v>
      </c>
      <c r="B6" s="2" t="s">
        <v>150</v>
      </c>
      <c r="C6" s="2" t="s">
        <v>151</v>
      </c>
      <c r="D6" s="2" t="s">
        <v>152</v>
      </c>
      <c r="E6" s="2" t="s">
        <v>153</v>
      </c>
    </row>
    <row r="7" spans="1:5" ht="30" x14ac:dyDescent="0.25">
      <c r="A7" s="2" t="s">
        <v>48</v>
      </c>
      <c r="B7" s="2" t="s">
        <v>154</v>
      </c>
      <c r="C7" s="2" t="s">
        <v>155</v>
      </c>
      <c r="D7" s="2" t="s">
        <v>156</v>
      </c>
      <c r="E7" s="2" t="s">
        <v>157</v>
      </c>
    </row>
  </sheetData>
  <pageMargins left="0.25" right="0.25" top="0.5" bottom="0.5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2" width="80" customWidth="1"/>
    <col min="3" max="3" width="50" customWidth="1"/>
  </cols>
  <sheetData>
    <row r="1" spans="1:3" x14ac:dyDescent="0.25">
      <c r="A1" s="13" t="s">
        <v>158</v>
      </c>
      <c r="B1" s="13" t="s">
        <v>159</v>
      </c>
      <c r="C1" s="13" t="s">
        <v>160</v>
      </c>
    </row>
    <row r="2" spans="1:3" x14ac:dyDescent="0.25">
      <c r="A2" s="2" t="s">
        <v>161</v>
      </c>
      <c r="B2" s="2" t="s">
        <v>162</v>
      </c>
      <c r="C2" s="2" t="s">
        <v>163</v>
      </c>
    </row>
    <row r="3" spans="1:3" x14ac:dyDescent="0.25">
      <c r="A3" s="2" t="s">
        <v>164</v>
      </c>
      <c r="B3" s="2" t="s">
        <v>165</v>
      </c>
      <c r="C3" s="2" t="s">
        <v>166</v>
      </c>
    </row>
    <row r="4" spans="1:3" x14ac:dyDescent="0.25">
      <c r="A4" s="2" t="s">
        <v>167</v>
      </c>
      <c r="B4" s="2" t="s">
        <v>168</v>
      </c>
      <c r="C4" s="2" t="s">
        <v>169</v>
      </c>
    </row>
    <row r="5" spans="1:3" ht="30" x14ac:dyDescent="0.25">
      <c r="A5" s="2" t="s">
        <v>170</v>
      </c>
      <c r="B5" s="2" t="s">
        <v>171</v>
      </c>
      <c r="C5" s="2" t="s">
        <v>172</v>
      </c>
    </row>
    <row r="6" spans="1:3" x14ac:dyDescent="0.25">
      <c r="A6" s="2" t="s">
        <v>173</v>
      </c>
      <c r="B6" s="2" t="s">
        <v>174</v>
      </c>
      <c r="C6" s="2" t="s">
        <v>166</v>
      </c>
    </row>
    <row r="7" spans="1:3" x14ac:dyDescent="0.25">
      <c r="A7" s="2" t="s">
        <v>175</v>
      </c>
      <c r="B7" s="2" t="s">
        <v>176</v>
      </c>
      <c r="C7" s="2" t="s">
        <v>177</v>
      </c>
    </row>
    <row r="8" spans="1:3" x14ac:dyDescent="0.25">
      <c r="A8" s="2" t="s">
        <v>178</v>
      </c>
      <c r="B8" s="2" t="s">
        <v>179</v>
      </c>
      <c r="C8" s="2" t="s">
        <v>166</v>
      </c>
    </row>
    <row r="9" spans="1:3" x14ac:dyDescent="0.25">
      <c r="A9" s="2" t="s">
        <v>180</v>
      </c>
      <c r="B9" s="2" t="s">
        <v>181</v>
      </c>
      <c r="C9" s="2" t="s">
        <v>182</v>
      </c>
    </row>
    <row r="10" spans="1:3" x14ac:dyDescent="0.25">
      <c r="A10" s="2" t="s">
        <v>183</v>
      </c>
      <c r="B10" s="2" t="s">
        <v>184</v>
      </c>
      <c r="C10" s="2" t="s">
        <v>185</v>
      </c>
    </row>
    <row r="11" spans="1:3" x14ac:dyDescent="0.25">
      <c r="A11" s="2" t="s">
        <v>186</v>
      </c>
      <c r="B11" s="2" t="s">
        <v>187</v>
      </c>
      <c r="C11" s="2" t="s">
        <v>188</v>
      </c>
    </row>
    <row r="12" spans="1:3" ht="30" x14ac:dyDescent="0.25">
      <c r="A12" s="2" t="s">
        <v>189</v>
      </c>
      <c r="B12" s="2" t="s">
        <v>190</v>
      </c>
      <c r="C12" s="2" t="s">
        <v>191</v>
      </c>
    </row>
    <row r="13" spans="1:3" x14ac:dyDescent="0.25">
      <c r="A13" s="2" t="s">
        <v>192</v>
      </c>
      <c r="B13" s="2" t="s">
        <v>193</v>
      </c>
      <c r="C13" s="2" t="s">
        <v>194</v>
      </c>
    </row>
    <row r="14" spans="1:3" ht="29.1" customHeight="1" x14ac:dyDescent="0.25">
      <c r="A14" s="2" t="s">
        <v>195</v>
      </c>
      <c r="B14" s="2" t="s">
        <v>196</v>
      </c>
      <c r="C14" s="2" t="s">
        <v>197</v>
      </c>
    </row>
    <row r="15" spans="1:3" x14ac:dyDescent="0.25">
      <c r="A15" s="2" t="s">
        <v>198</v>
      </c>
      <c r="B15" s="2" t="s">
        <v>199</v>
      </c>
      <c r="C15" s="2" t="s">
        <v>200</v>
      </c>
    </row>
    <row r="16" spans="1:3" x14ac:dyDescent="0.25">
      <c r="A16" s="2" t="s">
        <v>201</v>
      </c>
      <c r="B16" s="2" t="s">
        <v>202</v>
      </c>
      <c r="C16" s="2" t="s">
        <v>203</v>
      </c>
    </row>
    <row r="17" spans="1:3" x14ac:dyDescent="0.25">
      <c r="A17" s="2" t="s">
        <v>204</v>
      </c>
      <c r="B17" s="2" t="s">
        <v>205</v>
      </c>
      <c r="C17" s="2" t="s">
        <v>197</v>
      </c>
    </row>
    <row r="18" spans="1:3" ht="30" x14ac:dyDescent="0.25">
      <c r="A18" s="2" t="s">
        <v>206</v>
      </c>
      <c r="B18" t="s">
        <v>207</v>
      </c>
      <c r="C18" t="s">
        <v>208</v>
      </c>
    </row>
    <row r="19" spans="1:3" ht="30" x14ac:dyDescent="0.25">
      <c r="A19" s="2" t="s">
        <v>209</v>
      </c>
      <c r="B19" t="s">
        <v>210</v>
      </c>
      <c r="C19" t="s">
        <v>211</v>
      </c>
    </row>
    <row r="20" spans="1:3" ht="30" x14ac:dyDescent="0.25">
      <c r="A20" s="2" t="s">
        <v>212</v>
      </c>
      <c r="B20" t="s">
        <v>213</v>
      </c>
      <c r="C20" t="s">
        <v>214</v>
      </c>
    </row>
    <row r="21" spans="1:3" ht="30" x14ac:dyDescent="0.25">
      <c r="A21" s="2" t="s">
        <v>215</v>
      </c>
      <c r="B21" t="s">
        <v>216</v>
      </c>
      <c r="C21" t="s">
        <v>217</v>
      </c>
    </row>
  </sheetData>
  <pageMargins left="0.25" right="0.25" top="0.5" bottom="0.5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Quick Comparison</vt:lpstr>
      <vt:lpstr>Detailed Specs</vt:lpstr>
      <vt:lpstr>Feature Comparison</vt:lpstr>
      <vt:lpstr>Ownership Calculator</vt:lpstr>
      <vt:lpstr>Buying Verdict</vt:lpstr>
      <vt:lpstr>Sources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TRG Auto — If I Had ₹10 Lakh — Detailed Car Comparison (V2)</dc:title>
  <dc:subject>Six-car Delhi on-road comparison including Honda Amaze ZX MT</dc:subject>
  <dc:creator>TRG Auto</dc:creator>
  <cp:lastModifiedBy>Paras Sharma</cp:lastModifiedBy>
  <dcterms:created xsi:type="dcterms:W3CDTF">2026-09-02T14:54:30Z</dcterms:created>
  <dcterms:modified xsi:type="dcterms:W3CDTF">2026-09-14T17:35:23Z</dcterms:modified>
</cp:coreProperties>
</file>